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Notification_Queue" sheetId="2" r:id="rId6"/>
    <sheet state="hidden" name="Item_Use_Log" sheetId="3" r:id="rId7"/>
    <sheet state="hidden" name="Api_Test_Log" sheetId="4" r:id="rId8"/>
    <sheet state="visible" name="Scan" sheetId="5" r:id="rId9"/>
    <sheet state="visible" name="Dashboard" sheetId="6" r:id="rId10"/>
    <sheet state="visible" name="Students" sheetId="7" r:id="rId11"/>
    <sheet state="visible" name="Transactions" sheetId="8" r:id="rId12"/>
    <sheet state="visible" name="Attendance_Log" sheetId="9" r:id="rId13"/>
    <sheet state="visible" name="Daily_Attendance" sheetId="10" r:id="rId14"/>
    <sheet state="visible" name="Store" sheetId="11" r:id="rId15"/>
    <sheet state="visible" name="Student_Inventory" sheetId="12" r:id="rId16"/>
    <sheet state="visible" name="Jobs" sheetId="13" r:id="rId17"/>
    <sheet state="hidden" name="Payroll_Log" sheetId="14" r:id="rId18"/>
    <sheet state="visible" name="Settings" sheetId="15" r:id="rId19"/>
    <sheet state="visible" name="Reports" sheetId="16" r:id="rId20"/>
    <sheet state="visible" name="Student_Profile" sheetId="17" r:id="rId21"/>
    <sheet state="visible" name="Store_Kiosk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[scan card here]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[scan card here]</t>
      </text>
    </comment>
  </commentList>
</comments>
</file>

<file path=xl/sharedStrings.xml><?xml version="1.0" encoding="utf-8"?>
<sst xmlns="http://schemas.openxmlformats.org/spreadsheetml/2006/main" count="3375" uniqueCount="476">
  <si>
    <t>README — Setup Instructions</t>
  </si>
  <si>
    <t>Step</t>
  </si>
  <si>
    <t>Action</t>
  </si>
  <si>
    <t>Details</t>
  </si>
  <si>
    <t>1</t>
  </si>
  <si>
    <t>Upload this .xlsx to Google Drive</t>
  </si>
  <si>
    <t>Open it with Google Sheets.</t>
  </si>
  <si>
    <t>2</t>
  </si>
  <si>
    <t>Open Apps Script</t>
  </si>
  <si>
    <t>Google Sheets: Extensions → Apps Script.</t>
  </si>
  <si>
    <t>3</t>
  </si>
  <si>
    <t>Paste the provided .gs script</t>
  </si>
  <si>
    <t>Delete starter code, paste the script file, then save.</t>
  </si>
  <si>
    <t>4</t>
  </si>
  <si>
    <t>Authorize once</t>
  </si>
  <si>
    <t>Run setupScanner once from Apps Script or reload the sheet and use the menu. Google will ask for permissions.</t>
  </si>
  <si>
    <t>5</t>
  </si>
  <si>
    <t>Register cards</t>
  </si>
  <si>
    <t>Scan each card somewhere blank to learn the Card_ID, then paste it into Students!A with the student name.</t>
  </si>
  <si>
    <t>6</t>
  </si>
  <si>
    <t>Use Scan tab</t>
  </si>
  <si>
    <t>Click Scan!B3, choose a mode, set amount or item ID, then scan.</t>
  </si>
  <si>
    <t>7</t>
  </si>
  <si>
    <t>Protect tabs</t>
  </si>
  <si>
    <t>In Google Sheets, protect everything except Scan!B3:B8 if students can access the computer.</t>
  </si>
  <si>
    <t>8</t>
  </si>
  <si>
    <t>Optional Google Doc reports</t>
  </si>
  <si>
    <t>Paste a Google Doc ID into Settings and set Report_To_Doc to TRUE.</t>
  </si>
  <si>
    <t>Important notes</t>
  </si>
  <si>
    <t>Most RFID/NFC readers act like keyboards. They type the ID into the active cell and may press Enter automatically.</t>
  </si>
  <si>
    <t>The spreadsheet alone stores structure and formulas. The Apps Script is required for automation.</t>
  </si>
  <si>
    <t>For STORE_PURCHASE, put the item code in Scan!B7. The script finds the item in the Store tab and subtracts the price.</t>
  </si>
  <si>
    <t>For attendance, the script prevents duplicate attendance for the same student/date/class period.</t>
  </si>
  <si>
    <t>Run Payroll from the custom Classroom Scanner menu after the script is installed.</t>
  </si>
  <si>
    <t>This is built as a practical classroom tool, not a secure financial system. Protect your sheets.</t>
  </si>
  <si>
    <t>Shared Link:</t>
  </si>
  <si>
    <t>https://docs.google.com/spreadsheets/d/1m6mpxI00ZamfDDSzu00Cj-SOCvnEm4UrPOwK2-H9_Zc/edit?usp=sharing</t>
  </si>
  <si>
    <t>Created_At</t>
  </si>
  <si>
    <t>Date</t>
  </si>
  <si>
    <t>Type</t>
  </si>
  <si>
    <t>Message</t>
  </si>
  <si>
    <t>Status</t>
  </si>
  <si>
    <t>Attempts</t>
  </si>
  <si>
    <t>Last_Attempt_At</t>
  </si>
  <si>
    <t>Last_Error</t>
  </si>
  <si>
    <t>TEST</t>
  </si>
  <si>
    <t>✅ Test notification queued from Apps Script.</t>
  </si>
  <si>
    <t>Sent</t>
  </si>
  <si>
    <t>USE_ITEM</t>
  </si>
  <si>
    <t>🎒 *Item Use Recorded*
*Student:* Test
*Class:* 11
*Card ID:* 1234
*Item:* Homework Pass
*Item ID:* 5587
*Quantity Used:* 1
*Remaining:* 0
*Note:* Testing item-use request from Apps Script.
Submitted: Jun 10, 2026 3:28 PM</t>
  </si>
  <si>
    <t>🎒 *Item Use Recorded*
*Student:* John
*Class:* Teacher
*Card ID:* 2233
*Item:* +1 Assignment Bonus Token
*Item ID:* 3313
*Quantity Used:* 1
*Remaining:* 4
*Note:* Want to use for Homework #2
Submitted: Jun 10, 2026 3:36 PM</t>
  </si>
  <si>
    <t>🎒 *Item Use Recorded*
*Student:* Test
*Class:* 11
*Card ID:* 1234
*Item:* Open-Note Quiz Pass
*Item ID:* 6655
*Quantity Used:* 1
*Remaining:* 0
Submitted: Jun 10, 2026 3:41 PM</t>
  </si>
  <si>
    <t>🎒 *Item Use Recorded*
*Student:* Test
*Class:* 11
*Card ID:* 1234
*Item:* Insurance Contract
*Item ID:* 3965
*Quantity Used:* 1
*Remaining:* 1
Submitted: Jun 10, 2026 8:53 PM</t>
  </si>
  <si>
    <t>🎒 *Item Use Recorded*
*Student:* Test
*Class:* 11
*Card ID:* 1234
*Item:* Insurance Contract
*Item ID:* 3965
*Quantity Used:* 1
*Remaining:* 0
Submitted: Jun 10, 2026 8:53 PM</t>
  </si>
  <si>
    <t>🎒 *Item Use Recorded*
*Student:* Suha Lee
*Class:* 10 · HS202
*Card ID:* 7c4e261e
*Item:* Extra credit 1%
*Item ID:* 7734
*Quantity Used:* 6
*Remaining:* 0
*Note:* American Literature Honors increase 6% pls tytyty
Submitted: Jun 11, 2026 10:41 AM</t>
  </si>
  <si>
    <t>🎒 *Item Use Recorded*
*Student:* Tiffany Kim
*Class:* 10 · HS202
*Card ID:* 5c07fef4
*Item:* Extra credit 1%
*Item ID:* 7734
*Quantity Used:* 1
*Remaining:* 2
*Note:* econ test grad
Submitted: Jun 11, 2026 10:47 AM</t>
  </si>
  <si>
    <t>🎒 *Item Use Recorded*
*Student:* Tiffany Kim
*Class:* 10 · HS202
*Card ID:* 5c07fef4
*Item:* Extra credit 1%
*Item ID:* 7734
*Quantity Used:* 1
*Remaining:* 1
*Note:* same
Submitted: Jun 11, 2026 10:48 AM</t>
  </si>
  <si>
    <t>🎒 *Item Use Recorded*
*Student:* Tiffany Kim
*Class:* 10 · HS202
*Card ID:* 5c07fef4
*Item:* Extra credit 1%
*Item ID:* 7734
*Quantity Used:* 1
*Remaining:* 0
*Note:* same
Submitted: Jun 11, 2026 10:48 AM</t>
  </si>
  <si>
    <t>🎒 *Item Use Recorded*
*Student:* Test
*Class:* 11
*Card ID:* 1234
*Item:* Participation Recovery Token
*Item ID:* 7898
*Quantity Used:* 1
*Remaining:* 0
Submitted: Jun 11, 2026 3:32 PM</t>
  </si>
  <si>
    <t>🎒 *Item Use Recorded*
*Student:* Test
*Class:* 11
*Card ID:* 1234
*Item:* Extra credit 1%
*Item ID:* 7734
*Quantity Used:* 1
*Remaining:* 0
Submitted: Jun 11, 2026 3:47 PM</t>
  </si>
  <si>
    <t>🎒 *Item Use Recorded*
*Student:* Harold Dou
*Class:* 10 · HS202
*Card ID:* 5a032611
*Item:* Extra credit 1%
*Item ID:* 7734
*Quantity Used:* 10
*Remaining:* 0
*Note:* I want to use in American Literature Walden Chapter Analysis Assignment
Submitted: Jun 12, 2026 9:09 AM</t>
  </si>
  <si>
    <t>🎒 *Item Use Recorded*
*Student:* Test
*Class:* 11
*Card ID:* 1234
*Item:* Extra credit 1%
*Item ID:* 7734
*Quantity Used:* 1
*Remaining:* 0
*Note:* test
Submitted: Jun 13, 2026 8:12 AM</t>
  </si>
  <si>
    <t>Timestamp</t>
  </si>
  <si>
    <t>Card_ID</t>
  </si>
  <si>
    <t>Student_Name</t>
  </si>
  <si>
    <t>Grade</t>
  </si>
  <si>
    <t>Homeroom</t>
  </si>
  <si>
    <t>Item_ID</t>
  </si>
  <si>
    <t>Item_Name</t>
  </si>
  <si>
    <t>Category</t>
  </si>
  <si>
    <t>Quantity</t>
  </si>
  <si>
    <t>Note</t>
  </si>
  <si>
    <t>Test</t>
  </si>
  <si>
    <t>Homework Pass</t>
  </si>
  <si>
    <t>Academic</t>
  </si>
  <si>
    <t>Testing item-use request from api-test-logger.gs</t>
  </si>
  <si>
    <t>Pending</t>
  </si>
  <si>
    <t>Testing USE_ITEM through apiRouter.</t>
  </si>
  <si>
    <t>Used</t>
  </si>
  <si>
    <t>Jay Kim</t>
  </si>
  <si>
    <t>HS211</t>
  </si>
  <si>
    <t>Market Prediction Report</t>
  </si>
  <si>
    <t>Bonus</t>
  </si>
  <si>
    <t>i wanna use this</t>
  </si>
  <si>
    <t>Jake Kim</t>
  </si>
  <si>
    <t>Testing item-use request from Apps Script.</t>
  </si>
  <si>
    <t>John</t>
  </si>
  <si>
    <t>Teacher</t>
  </si>
  <si>
    <t>+1 Assignment Bonus Token</t>
  </si>
  <si>
    <t>Want to use for Homework #2</t>
  </si>
  <si>
    <t>Open-Note Quiz Pass</t>
  </si>
  <si>
    <t>Insurance Contract</t>
  </si>
  <si>
    <t>7c4e261e</t>
  </si>
  <si>
    <t>Suha Lee</t>
  </si>
  <si>
    <t>HS202</t>
  </si>
  <si>
    <t>Extra credit 1%</t>
  </si>
  <si>
    <t>American Literature Honors increase 6% pls tytyty</t>
  </si>
  <si>
    <t>5c07fef4</t>
  </si>
  <si>
    <t>Tiffany Kim</t>
  </si>
  <si>
    <t>econ test grad</t>
  </si>
  <si>
    <t>same</t>
  </si>
  <si>
    <t>Participation Recovery Token</t>
  </si>
  <si>
    <t>Privilege</t>
  </si>
  <si>
    <t>5a032611</t>
  </si>
  <si>
    <t>Harold Dou</t>
  </si>
  <si>
    <t>I want to use in American Literature Walden Chapter Analysis Assignment</t>
  </si>
  <si>
    <t>test</t>
  </si>
  <si>
    <t>Test_Name</t>
  </si>
  <si>
    <t>Ok</t>
  </si>
  <si>
    <t>Duration_MS</t>
  </si>
  <si>
    <t>Request_JSON</t>
  </si>
  <si>
    <t>Response_JSON</t>
  </si>
  <si>
    <t>Error</t>
  </si>
  <si>
    <t>Notes</t>
  </si>
  <si>
    <t>READ_ONLY_FLOW</t>
  </si>
  <si>
    <t>LOGIN</t>
  </si>
  <si>
    <t>{"action":"LOGIN","accessCode":"***"}</t>
  </si>
  <si>
    <t>{"ok":true,"token":"a995...8185","profile":{"name":"Test","grade":"","homeroom":"","balance":99800,"jobTitle":"","active":"Yes"},"snapshot":{"hasProfile":true,"storeCount":13,"transactionCount":1,"inventoryCount":1,"marketCount":65,"portfolioCount":1,"ratingCount":0}}</t>
  </si>
  <si>
    <t>Login returned token.</t>
  </si>
  <si>
    <t>GET_SNAPSHOT</t>
  </si>
  <si>
    <t>{"action":"GET_SNAPSHOT","token":"a995...8185"}</t>
  </si>
  <si>
    <t>{"ok":true,"snapshot":{"hasProfile":true,"storeCount":13,"transactionCount":1,"inventoryCount":1,"marketCount":65,"portfolioCount":1,"ratingCount":0}}</t>
  </si>
  <si>
    <t>Snapshot counts | store=13 | transactions=1 | inventory=1 | market=65 | portfolio=1 | ratings=0</t>
  </si>
  <si>
    <t>LOGOUT</t>
  </si>
  <si>
    <t>{"action":"LOGOUT","token":"a995...8185"}</t>
  </si>
  <si>
    <t>{"ok":true}</t>
  </si>
  <si>
    <t>Action completed.</t>
  </si>
  <si>
    <t>{"ok":true,"token":"0470...6c29","profile":{"name":"Test","grade":"","homeroom":"","balance":99800,"jobTitle":"","active":"Yes"},"snapshot":{"hasProfile":true,"storeCount":13,"transactionCount":1,"inventoryCount":1,"marketCount":65,"portfolioCount":1,"ratingCount":0}}</t>
  </si>
  <si>
    <t>{"action":"GET_SNAPSHOT","token":"0470...6c29"}</t>
  </si>
  <si>
    <t>{"action":"LOGOUT","token":"0470...6c29"}</t>
  </si>
  <si>
    <t>SINGLE_ACTION_TEST</t>
  </si>
  <si>
    <t>{"ok":true,"token":"0e37...a797","profile":{"name":"Test","grade":"","homeroom":"","balance":99800,"jobTitle":"","active":"Yes"},"snapshot":{"hasProfile":true,"storeCount":13,"transactionCount":1,"inventoryCount":1,"marketCount":65,"portfolioCount":1,"ratingCount":0}}</t>
  </si>
  <si>
    <t>FULL_WRITE_FLOW</t>
  </si>
  <si>
    <t>{"ok":true,"token":"ad51...92aa","profile":{"name":"Test","grade":"","homeroom":"","balance":99800,"jobTitle":"","active":"Yes"},"snapshot":{"hasProfile":true,"storeCount":13,"transactionCount":1,"inventoryCount":1,"marketCount":65,"portfolioCount":1,"ratingCount":0}}</t>
  </si>
  <si>
    <t>{"action":"GET_SNAPSHOT","token":"ad51...92aa"}</t>
  </si>
  <si>
    <t>STORE_PURCHASE</t>
  </si>
  <si>
    <t>Purchase completed.</t>
  </si>
  <si>
    <t>{"action":"STORE_PURCHASE","token":"ad51...92aa","payload":{"itemId":"5587","quantity":1}}</t>
  </si>
  <si>
    <t>{"ok":true,"message":"Purchase completed.","snapshot":{"hasProfile":true,"storeCount":13,"transactionCount":2,"inventoryCount":1,"marketCount":65,"portfolioCount":1,"ratingCount":0}}</t>
  </si>
  <si>
    <t>Request sent. Your teacher has been notified.</t>
  </si>
  <si>
    <t>{"action":"USE_ITEM","token":"ad51...92aa","payload":{"itemId":"5587","itemName":"Homework Pass","quantity":1,"note":"Testing item-use request from api-test-logger.gs"}}</t>
  </si>
  <si>
    <t>{"ok":true,"message":"Request sent. Your teacher has been notified.","snapshot":{"hasProfile":true,"storeCount":13,"transactionCount":3,"inventoryCount":1,"marketCount":65,"portfolioCount":1,"ratingCount":0}}</t>
  </si>
  <si>
    <t>STOCK_TRADE</t>
  </si>
  <si>
    <t>Stock purchase completed.</t>
  </si>
  <si>
    <t>{"action":"STOCK_TRADE","token":"ad51...92aa","payload":{"action":"BUY","ticker":"BYTE","shares":1}}</t>
  </si>
  <si>
    <t>{"ok":true,"message":"Stock purchase completed.","snapshot":{"hasProfile":true,"storeCount":13,"transactionCount":3,"inventoryCount":1,"marketCount":65,"portfolioCount":2,"ratingCount":0}}</t>
  </si>
  <si>
    <t>SUBMIT_RATING</t>
  </si>
  <si>
    <t>Rating submitted.</t>
  </si>
  <si>
    <t>{"action":"SUBMIT_RATING","token":"ad51...92aa","payload":{"ticker":"BYTE","rating":"HOLD","targetPrice":100,"reason":"Testing rating submission from api-test-logger.gs"}}</t>
  </si>
  <si>
    <t>{"ok":true,"message":"Rating submitted.","snapshot":{"hasProfile":true,"storeCount":13,"transactionCount":3,"inventoryCount":1,"marketCount":65,"portfolioCount":2,"ratingCount":1}}</t>
  </si>
  <si>
    <t>{"ok":true,"snapshot":{"hasProfile":true,"storeCount":13,"transactionCount":3,"inventoryCount":1,"marketCount":65,"portfolioCount":2,"ratingCount":1}}</t>
  </si>
  <si>
    <t>Snapshot counts | store=13 | transactions=3 | inventory=1 | market=65 | portfolio=2 | ratings=1</t>
  </si>
  <si>
    <t>{"action":"LOGOUT","token":"ad51...92aa"}</t>
  </si>
  <si>
    <t>Classroom Card Scanner — Balance + Attendance + Store</t>
  </si>
  <si>
    <t>Scan Card Here</t>
  </si>
  <si>
    <t>Mode Guide</t>
  </si>
  <si>
    <t>Uses Amount?</t>
  </si>
  <si>
    <t>Uses Item_ID?</t>
  </si>
  <si>
    <t>Mode</t>
  </si>
  <si>
    <t>ATTENDANCE</t>
  </si>
  <si>
    <t>No</t>
  </si>
  <si>
    <t>Amount</t>
  </si>
  <si>
    <t>DEPOSIT</t>
  </si>
  <si>
    <t>Yes</t>
  </si>
  <si>
    <t>Class / Period</t>
  </si>
  <si>
    <t>WITHDRAW</t>
  </si>
  <si>
    <t>MUSIC01</t>
  </si>
  <si>
    <t>REWARD</t>
  </si>
  <si>
    <t>FINE</t>
  </si>
  <si>
    <t>Last Result</t>
  </si>
  <si>
    <t>Junjae Park marked Present at 08:31:04 KST. Bonus: +10.</t>
  </si>
  <si>
    <t>PAYROLL</t>
  </si>
  <si>
    <t>Run from menu</t>
  </si>
  <si>
    <t>Fast workflow</t>
  </si>
  <si>
    <t>Click B3</t>
  </si>
  <si>
    <t>Keep the cursor in the yellow scan cell.</t>
  </si>
  <si>
    <t>Choose Mode</t>
  </si>
  <si>
    <t>ATTENDANCE, DEPOSIT, WITHDRAW, REWARD, FINE, or STORE_PURCHASE.</t>
  </si>
  <si>
    <t>Set amount/item</t>
  </si>
  <si>
    <t>Use Amount for money actions. Use Item_ID for store purchases.</t>
  </si>
  <si>
    <t>Scan card</t>
  </si>
  <si>
    <t>The script updates balances, attendance, logs, and dashboard formulas.</t>
  </si>
  <si>
    <t>Review result</t>
  </si>
  <si>
    <t>Last Result tells you what happened.</t>
  </si>
  <si>
    <t>Use menu</t>
  </si>
  <si>
    <t>Classroom Scanner menu can run payroll/reports after script install.</t>
  </si>
  <si>
    <t>Dashboard</t>
  </si>
  <si>
    <t>Total Money Supply</t>
  </si>
  <si>
    <t>Active Students</t>
  </si>
  <si>
    <t>Attendance Today</t>
  </si>
  <si>
    <t>Late Today</t>
  </si>
  <si>
    <t>Money Summary</t>
  </si>
  <si>
    <t>Attendance Summary</t>
  </si>
  <si>
    <t>Metric</t>
  </si>
  <si>
    <t>Value</t>
  </si>
  <si>
    <t>Formula Meaning</t>
  </si>
  <si>
    <t>Deposits</t>
  </si>
  <si>
    <t>DEPOSIT + REWARD + PAYROLL + ATTENDANCE_BONUS</t>
  </si>
  <si>
    <t>Incoming money</t>
  </si>
  <si>
    <t>Present today</t>
  </si>
  <si>
    <t>On-time scans today</t>
  </si>
  <si>
    <t>Withdrawals</t>
  </si>
  <si>
    <t>WITHDRAW + FINE + STORE_PURCHASE</t>
  </si>
  <si>
    <t>Outgoing money</t>
  </si>
  <si>
    <t>Late today</t>
  </si>
  <si>
    <t>Late scans today</t>
  </si>
  <si>
    <t>Store purchases</t>
  </si>
  <si>
    <t>Count of successful store purchases</t>
  </si>
  <si>
    <t>Absent today</t>
  </si>
  <si>
    <t>Active students minus today's attendance</t>
  </si>
  <si>
    <t>Rewards</t>
  </si>
  <si>
    <t>Count of reward deposits</t>
  </si>
  <si>
    <t>Attendance rate</t>
  </si>
  <si>
    <t>Today attendance / active students</t>
  </si>
  <si>
    <t>Fines</t>
  </si>
  <si>
    <t>Count of fine withdrawals</t>
  </si>
  <si>
    <t>Total attendance scans</t>
  </si>
  <si>
    <t>All-time daily records</t>
  </si>
  <si>
    <t>Failed/Denied transactions</t>
  </si>
  <si>
    <t>Status is not Success</t>
  </si>
  <si>
    <t>Top Balances</t>
  </si>
  <si>
    <t>Quick Reminders</t>
  </si>
  <si>
    <t>Student</t>
  </si>
  <si>
    <t>Balance</t>
  </si>
  <si>
    <t>Reminder</t>
  </si>
  <si>
    <t>Why it matters</t>
  </si>
  <si>
    <t>Protect tabs except Scan</t>
  </si>
  <si>
    <t>Stops students from editing balances.</t>
  </si>
  <si>
    <t>Keep cursor in Scan!B3</t>
  </si>
  <si>
    <t>Most card readers type like keyboards.</t>
  </si>
  <si>
    <t>Register every card first</t>
  </si>
  <si>
    <t>Unknown cards are denied and logged.</t>
  </si>
  <si>
    <t>Use menu for payroll/reports</t>
  </si>
  <si>
    <t>Menu appears after script install.</t>
  </si>
  <si>
    <t>Students / Card Registry</t>
  </si>
  <si>
    <t>Job_Title</t>
  </si>
  <si>
    <t>Active</t>
  </si>
  <si>
    <t>Last_Updated</t>
  </si>
  <si>
    <t>Attendance_Streak</t>
  </si>
  <si>
    <t>Last_Attendance_Date</t>
  </si>
  <si>
    <t>ba353911</t>
  </si>
  <si>
    <t>Dayeon Kang</t>
  </si>
  <si>
    <t>-</t>
  </si>
  <si>
    <t>dc04eef4</t>
  </si>
  <si>
    <t>Joshua Jung</t>
  </si>
  <si>
    <t>ba0fc5c4</t>
  </si>
  <si>
    <t>Junwoo Kang</t>
  </si>
  <si>
    <t>ba912211</t>
  </si>
  <si>
    <t>Daisy Doh</t>
  </si>
  <si>
    <t>babde4c4</t>
  </si>
  <si>
    <t>Ashley Guk</t>
  </si>
  <si>
    <t>ae072910</t>
  </si>
  <si>
    <t>Selena Jung</t>
  </si>
  <si>
    <t>1e3e1410</t>
  </si>
  <si>
    <t>Junjae Park</t>
  </si>
  <si>
    <t>9a5f2811</t>
  </si>
  <si>
    <t>Junyoung Yoo</t>
  </si>
  <si>
    <t>Ahin</t>
  </si>
  <si>
    <t>Ellie</t>
  </si>
  <si>
    <t>HS203</t>
  </si>
  <si>
    <t>DK</t>
  </si>
  <si>
    <t>HS204</t>
  </si>
  <si>
    <t>Hannah</t>
  </si>
  <si>
    <t>HS205</t>
  </si>
  <si>
    <t>Lena</t>
  </si>
  <si>
    <t>HS206</t>
  </si>
  <si>
    <t>Minjun</t>
  </si>
  <si>
    <t>HS207</t>
  </si>
  <si>
    <t>Ruby</t>
  </si>
  <si>
    <t>HS208</t>
  </si>
  <si>
    <t>Yeonju</t>
  </si>
  <si>
    <t>HS209</t>
  </si>
  <si>
    <t>Jinwoo</t>
  </si>
  <si>
    <t>HS210</t>
  </si>
  <si>
    <t>Oakley</t>
  </si>
  <si>
    <t>Alexis Parisee</t>
  </si>
  <si>
    <t>Jace Kim</t>
  </si>
  <si>
    <t>Jin Park</t>
  </si>
  <si>
    <t>Claire Yang</t>
  </si>
  <si>
    <t>Daniel Park</t>
  </si>
  <si>
    <t>Anthony Ahn</t>
  </si>
  <si>
    <t>Alex Kang</t>
  </si>
  <si>
    <t>Mathew Kim</t>
  </si>
  <si>
    <t>Andy Lee</t>
  </si>
  <si>
    <t>HS212</t>
  </si>
  <si>
    <t>Junwoo Yoon</t>
  </si>
  <si>
    <t>HS213</t>
  </si>
  <si>
    <t xml:space="preserve">Hyunmo Gu </t>
  </si>
  <si>
    <t>HS214</t>
  </si>
  <si>
    <t>Sooin Kang</t>
  </si>
  <si>
    <t>HS215</t>
  </si>
  <si>
    <t>Jiwon Kang</t>
  </si>
  <si>
    <t>HS216</t>
  </si>
  <si>
    <t>Kevin Jeon</t>
  </si>
  <si>
    <t>HS217</t>
  </si>
  <si>
    <t>Hyeonjun Kim</t>
  </si>
  <si>
    <t>Austin Han</t>
  </si>
  <si>
    <t>Shay Baek</t>
  </si>
  <si>
    <t>Lily Kim</t>
  </si>
  <si>
    <t>Claire Jeong</t>
  </si>
  <si>
    <t>Sylvia Seo</t>
  </si>
  <si>
    <t>Seoyi Hong</t>
  </si>
  <si>
    <t>Casey Yang</t>
  </si>
  <si>
    <t>Raoul Kim</t>
  </si>
  <si>
    <t>Jayden Hong</t>
  </si>
  <si>
    <t>Edward Song</t>
  </si>
  <si>
    <t>Hannah Lee</t>
  </si>
  <si>
    <t>Ryan Kang</t>
  </si>
  <si>
    <t>Jayden Yun</t>
  </si>
  <si>
    <t>Annie Lee</t>
  </si>
  <si>
    <t>Alyssa Shin</t>
  </si>
  <si>
    <t>Minjung Lee</t>
  </si>
  <si>
    <t>Chloe An</t>
  </si>
  <si>
    <t>Ryan Kim</t>
  </si>
  <si>
    <t>Sarah Park</t>
  </si>
  <si>
    <t>Shiwoo Kim</t>
  </si>
  <si>
    <t>Dano Kim</t>
  </si>
  <si>
    <t>Soyeon Park</t>
  </si>
  <si>
    <t>Gahyeon Yoon</t>
  </si>
  <si>
    <t>Christine Kim</t>
  </si>
  <si>
    <t>David Ki</t>
  </si>
  <si>
    <t>Sophie Lee</t>
  </si>
  <si>
    <t>Emily Kang</t>
  </si>
  <si>
    <t>Matthew Yang</t>
  </si>
  <si>
    <t>Sean Park</t>
  </si>
  <si>
    <t>Dorothy Park</t>
  </si>
  <si>
    <t>Jun Lee</t>
  </si>
  <si>
    <t>Danbee Kim</t>
  </si>
  <si>
    <t>Briar Cho</t>
  </si>
  <si>
    <t>Ellie Kim</t>
  </si>
  <si>
    <t>Chaewon Jeon</t>
  </si>
  <si>
    <t>Irene Choi</t>
  </si>
  <si>
    <t>Money / Store Transaction Log</t>
  </si>
  <si>
    <t>Starting_Balance</t>
  </si>
  <si>
    <t>Ending_Balance</t>
  </si>
  <si>
    <t>On-time attendance reward</t>
  </si>
  <si>
    <t>Success</t>
  </si>
  <si>
    <t>Daisy Dou</t>
  </si>
  <si>
    <t>Late attendance penalty</t>
  </si>
  <si>
    <t>Denied - insufficient balance</t>
  </si>
  <si>
    <t>Store purchase</t>
  </si>
  <si>
    <t>Relaxation Pass</t>
  </si>
  <si>
    <t>Item use requested</t>
  </si>
  <si>
    <t>Item used</t>
  </si>
  <si>
    <t>Preferred Seating Pass</t>
  </si>
  <si>
    <t>Not enough balance.</t>
  </si>
  <si>
    <t>Raw Attendance Scan Log</t>
  </si>
  <si>
    <t>Class_Period</t>
  </si>
  <si>
    <t>Check_In_Time</t>
  </si>
  <si>
    <t>Streak_After_Scan</t>
  </si>
  <si>
    <t>Bonus_Applied</t>
  </si>
  <si>
    <t>System_Status</t>
  </si>
  <si>
    <t>Present</t>
  </si>
  <si>
    <t>On-time reward applied</t>
  </si>
  <si>
    <t>Duplicate</t>
  </si>
  <si>
    <t>Duplicate scan</t>
  </si>
  <si>
    <t>Denied - duplicate attendance</t>
  </si>
  <si>
    <t>Late</t>
  </si>
  <si>
    <t>Late scan</t>
  </si>
  <si>
    <t>Late penalty not applied: insufficient balance</t>
  </si>
  <si>
    <t>Late penalty applied</t>
  </si>
  <si>
    <t>bf93598d</t>
  </si>
  <si>
    <t>UNKNOWN</t>
  </si>
  <si>
    <t>Unknown Card</t>
  </si>
  <si>
    <t>Denied - card not registered</t>
  </si>
  <si>
    <t>Daily Attendance Summary</t>
  </si>
  <si>
    <t>Classroom Store</t>
  </si>
  <si>
    <t>Price</t>
  </si>
  <si>
    <t>Inventory</t>
  </si>
  <si>
    <t>Description</t>
  </si>
  <si>
    <t>Snack Pass</t>
  </si>
  <si>
    <t>Reward</t>
  </si>
  <si>
    <t xml:space="preserve">Student can eat snacks in the classroom </t>
  </si>
  <si>
    <t>Student may use one limited homework pass, subject to teacher approval.</t>
  </si>
  <si>
    <t>Protects the student from one negative market event.</t>
  </si>
  <si>
    <t>Provides one market prediction news article before the next market update.</t>
  </si>
  <si>
    <t>Allows the student to take one short rest period during class.</t>
  </si>
  <si>
    <t>Student may choose their seat for one class period.</t>
  </si>
  <si>
    <t>Student may use their own notes during one quiz.</t>
  </si>
  <si>
    <t>Student may reserve a preferred seat for one class period.</t>
  </si>
  <si>
    <t>Adds 1 bonus point to one eligible assignment.</t>
  </si>
  <si>
    <t>Assignment Pass</t>
  </si>
  <si>
    <t>Test Retake</t>
  </si>
  <si>
    <t>Essay pass</t>
  </si>
  <si>
    <t xml:space="preserve">Assignment Extention </t>
  </si>
  <si>
    <t>Get 1% extra credit on an assignment</t>
  </si>
  <si>
    <t>Student Inventory</t>
  </si>
  <si>
    <t>Quantity_Purchased</t>
  </si>
  <si>
    <t>Total_Spent</t>
  </si>
  <si>
    <t>Last_Purchased</t>
  </si>
  <si>
    <t>Jobs / Payroll</t>
  </si>
  <si>
    <t>Salary</t>
  </si>
  <si>
    <t>Frequency</t>
  </si>
  <si>
    <t>Last_Paid</t>
  </si>
  <si>
    <t>Weekly</t>
  </si>
  <si>
    <t>Jobs / Payroll Log</t>
  </si>
  <si>
    <t>Payroll_Run_At</t>
  </si>
  <si>
    <t>Pay_Period_Start</t>
  </si>
  <si>
    <t>Pay_Period_End</t>
  </si>
  <si>
    <t>Duration_Days</t>
  </si>
  <si>
    <t>Pay_Frequency</t>
  </si>
  <si>
    <t>Automatic</t>
  </si>
  <si>
    <t>Settings</t>
  </si>
  <si>
    <t>Setting</t>
  </si>
  <si>
    <t>Allow_Negative_Balances</t>
  </si>
  <si>
    <t>FALSE</t>
  </si>
  <si>
    <t>TRUE allows balances below zero; FALSE denies withdrawals/purchases/fines that exceed balance.</t>
  </si>
  <si>
    <t>Late_Cutoff_Time</t>
  </si>
  <si>
    <t>Attendance scans after this time are marked Late. Use 24-hour HH:mm format.</t>
  </si>
  <si>
    <t>On_Time_Bonus</t>
  </si>
  <si>
    <t>Optional automatic deposit for on-time attendance. Set 0 to disable.</t>
  </si>
  <si>
    <t>Late_Bonus</t>
  </si>
  <si>
    <t>Optional automatic deposit for late attendance. Set 0 to disable.</t>
  </si>
  <si>
    <t>Streak_3_Bonus</t>
  </si>
  <si>
    <t>Bonus when attendance streak reaches exactly 3.</t>
  </si>
  <si>
    <t>Streak_5_Bonus</t>
  </si>
  <si>
    <t>Bonus when attendance streak reaches exactly 5.</t>
  </si>
  <si>
    <t>Streak_10_Bonus</t>
  </si>
  <si>
    <t>Bonus when attendance streak reaches exactly 10.</t>
  </si>
  <si>
    <t>Default_Class</t>
  </si>
  <si>
    <t>Used if Scan!B6 is blank.</t>
  </si>
  <si>
    <t>Store_Decrease_Inventory</t>
  </si>
  <si>
    <t>TRUE</t>
  </si>
  <si>
    <t>TRUE decreases numeric inventory by 1 after successful STORE_PURCHASE.</t>
  </si>
  <si>
    <t>Payroll_Note</t>
  </si>
  <si>
    <t>Weekly job salary</t>
  </si>
  <si>
    <t>Default note used when Run Payroll is clicked.</t>
  </si>
  <si>
    <t>Google_Doc_ID</t>
  </si>
  <si>
    <t>1UeSH3IK6OQRWgm-oVf37S5LqRkZnYkP-k3l4wfQT5SQ</t>
  </si>
  <si>
    <t>Optional: paste a Google Doc ID to generate attendance reports into a Doc.</t>
  </si>
  <si>
    <t>Report_To_Doc</t>
  </si>
  <si>
    <t>TRUE sends generated daily attendance report to the Google Doc ID above.</t>
  </si>
  <si>
    <t>Payroll_Duration_Days</t>
  </si>
  <si>
    <t>Payroll_Automatic_Day</t>
  </si>
  <si>
    <t>Friday</t>
  </si>
  <si>
    <t>Payroll_Automatic_Time</t>
  </si>
  <si>
    <t>Timezone</t>
  </si>
  <si>
    <t>Asia/Seoul</t>
  </si>
  <si>
    <t>Generated Reports</t>
  </si>
  <si>
    <t>Generated_At</t>
  </si>
  <si>
    <t>Report_Type</t>
  </si>
  <si>
    <t>Absent</t>
  </si>
  <si>
    <t>Student Profile</t>
  </si>
  <si>
    <t>Scan Student Card</t>
  </si>
  <si>
    <t>Loaded Harold Dou at 14:47:37 KST</t>
  </si>
  <si>
    <t>Item</t>
  </si>
  <si>
    <t>Total Spent</t>
  </si>
  <si>
    <t>Last Purchased</t>
  </si>
  <si>
    <t>Student Name</t>
  </si>
  <si>
    <t>Total Deposits</t>
  </si>
  <si>
    <t>Total Withdrawals</t>
  </si>
  <si>
    <t>Total Rewards</t>
  </si>
  <si>
    <t>Current Balance</t>
  </si>
  <si>
    <t>Total Fines</t>
  </si>
  <si>
    <t>Job Title</t>
  </si>
  <si>
    <t>Store Purchases</t>
  </si>
  <si>
    <t>Attendance Streak (Days)</t>
  </si>
  <si>
    <t>Recent Transactions</t>
  </si>
  <si>
    <t>Purchase History</t>
  </si>
  <si>
    <t>Date/Time</t>
  </si>
  <si>
    <t xml:space="preserve">Amount </t>
  </si>
  <si>
    <t xml:space="preserve">Ending Balance </t>
  </si>
  <si>
    <t>Balance After</t>
  </si>
  <si>
    <t>Attendance History</t>
  </si>
  <si>
    <t>Rewards / Fines</t>
  </si>
  <si>
    <t>Checkin Time</t>
  </si>
  <si>
    <t xml:space="preserve"> Note</t>
  </si>
  <si>
    <t>Classroom Store Kiosk</t>
  </si>
  <si>
    <t>1. Scan Student Card</t>
  </si>
  <si>
    <t>2. Store Item ID</t>
  </si>
  <si>
    <t>3. Quantity</t>
  </si>
  <si>
    <t>Result</t>
  </si>
  <si>
    <t>Lena bought 2 x Homework Pass for 400. New balance: 590.42</t>
  </si>
  <si>
    <t>Available Store Items</t>
  </si>
  <si>
    <t>Item ID</t>
  </si>
  <si>
    <t>Item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</si>
</sst>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 h:mm:ss"/>
    <numFmt numFmtId="165" formatCode="yyyy-mm-dd"/>
    <numFmt numFmtId="166" formatCode="[$$]#,##0"/>
    <numFmt numFmtId="167" formatCode="M/d/yyyy H:mm:ss"/>
    <numFmt numFmtId="168" formatCode="yyyy-mm-dd hh:mm"/>
    <numFmt numFmtId="169" formatCode="&quot;$&quot;#,##0"/>
    <numFmt numFmtId="170" formatCode="yyyy-mm-dd hh:mm:ss"/>
    <numFmt numFmtId="171" formatCode="[$$]#,##0.00"/>
    <numFmt numFmtId="172" formatCode="M/d/yyyy"/>
    <numFmt numFmtId="173" formatCode="am/pm h:mm:ss"/>
  </numFmts>
  <fonts count="22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111827"/>
      <name val="Carlito"/>
    </font>
    <font>
      <sz val="11.0"/>
      <color rgb="FF000000"/>
      <name val="Carlito"/>
    </font>
    <font>
      <b/>
      <color theme="1"/>
      <name val="Carlito"/>
      <scheme val="minor"/>
    </font>
    <font>
      <color theme="1"/>
      <name val="Carlito"/>
      <scheme val="minor"/>
    </font>
    <font>
      <b/>
      <sz val="11.0"/>
      <color theme="1"/>
      <name val="Carlito"/>
    </font>
    <font>
      <b/>
      <sz val="14.0"/>
      <color rgb="FF111827"/>
      <name val="Carlito"/>
    </font>
    <font>
      <sz val="11.0"/>
      <color rgb="FF111827"/>
      <name val="Carlito"/>
    </font>
    <font>
      <b/>
      <sz val="18.0"/>
      <color theme="1"/>
      <name val="Carlito"/>
    </font>
    <font>
      <b/>
      <color rgb="FFFFFFFF"/>
      <name val="Carlito"/>
      <scheme val="minor"/>
    </font>
    <font>
      <b/>
      <sz val="23.0"/>
      <color rgb="FFFFFFFF"/>
      <name val="Calibri"/>
    </font>
    <font>
      <color theme="1"/>
      <name val="Calibri"/>
    </font>
    <font>
      <b/>
      <color theme="0"/>
      <name val="Calibri"/>
    </font>
    <font>
      <sz val="11.0"/>
      <color rgb="FF000000"/>
      <name val="Calibri"/>
    </font>
    <font>
      <b/>
      <color rgb="FFFFFFFF"/>
      <name val="Calibri"/>
    </font>
    <font>
      <b/>
      <color rgb="FF000000"/>
      <name val="Calibri"/>
    </font>
    <font>
      <color rgb="FF000000"/>
      <name val="Calibri"/>
    </font>
    <font>
      <b/>
      <color rgb="FFFFF2CC"/>
      <name val="Calibri"/>
    </font>
    <font>
      <color rgb="FFFFF2CC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E0F2F1"/>
        <bgColor rgb="FFE0F2F1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C1E4F5"/>
        <bgColor rgb="FFC1E4F5"/>
      </patternFill>
    </fill>
    <fill>
      <patternFill patternType="solid">
        <fgColor rgb="FF156082"/>
        <bgColor rgb="FF15608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shrinkToFit="0" wrapText="1"/>
    </xf>
    <xf borderId="0" fillId="5" fontId="4" numFmtId="0" xfId="0" applyAlignment="1" applyFill="1" applyFont="1">
      <alignment horizontal="left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6" fontId="8" numFmtId="0" xfId="0" applyAlignment="1" applyFill="1" applyFont="1">
      <alignment horizontal="right"/>
    </xf>
    <xf borderId="0" fillId="7" fontId="9" numFmtId="0" xfId="0" applyAlignment="1" applyFill="1" applyFont="1">
      <alignment horizontal="center" readingOrder="0"/>
    </xf>
    <xf borderId="0" fillId="8" fontId="10" numFmtId="0" xfId="0" applyAlignment="1" applyFill="1" applyFont="1">
      <alignment horizontal="left" readingOrder="0"/>
    </xf>
    <xf borderId="0" fillId="8" fontId="10" numFmtId="166" xfId="0" applyAlignment="1" applyFont="1" applyNumberFormat="1">
      <alignment horizontal="left" readingOrder="0"/>
    </xf>
    <xf borderId="0" fillId="8" fontId="10" numFmtId="0" xfId="0" applyAlignment="1" applyFont="1">
      <alignment horizontal="left"/>
    </xf>
    <xf borderId="0" fillId="4" fontId="3" numFmtId="0" xfId="0" applyAlignment="1" applyFont="1">
      <alignment readingOrder="0" shrinkToFit="0" wrapText="1"/>
    </xf>
    <xf borderId="0" fillId="9" fontId="10" numFmtId="0" xfId="0" applyAlignment="1" applyFill="1" applyFont="1">
      <alignment horizontal="left"/>
    </xf>
    <xf borderId="0" fillId="10" fontId="4" numFmtId="0" xfId="0" applyAlignment="1" applyFill="1" applyFont="1">
      <alignment horizontal="left" readingOrder="0" shrinkToFit="0" wrapText="1"/>
    </xf>
    <xf borderId="0" fillId="2" fontId="1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9" fontId="11" numFmtId="1" xfId="0" applyAlignment="1" applyFont="1" applyNumberFormat="1">
      <alignment horizontal="center" shrinkToFit="0" wrapText="1"/>
    </xf>
    <xf borderId="0" fillId="5" fontId="4" numFmtId="0" xfId="0" applyAlignment="1" applyFont="1">
      <alignment horizontal="left" shrinkToFit="0" vertical="center" wrapText="1"/>
    </xf>
    <xf borderId="0" fillId="0" fontId="3" numFmtId="166" xfId="0" applyAlignment="1" applyFont="1" applyNumberForma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3" numFmtId="1" xfId="0" applyAlignment="1" applyFont="1" applyNumberFormat="1">
      <alignment horizontal="center" shrinkToFit="0" wrapText="1"/>
    </xf>
    <xf borderId="0" fillId="0" fontId="3" numFmtId="9" xfId="0" applyAlignment="1" applyFont="1" applyNumberFormat="1">
      <alignment horizontal="center" shrinkToFit="0" wrapText="1"/>
    </xf>
    <xf borderId="0" fillId="0" fontId="3" numFmtId="166" xfId="0" applyAlignment="1" applyFont="1" applyNumberFormat="1">
      <alignment shrinkToFit="0" wrapText="1"/>
    </xf>
    <xf borderId="0" fillId="0" fontId="7" numFmtId="166" xfId="0" applyFont="1" applyNumberFormat="1"/>
    <xf borderId="0" fillId="3" fontId="2" numFmtId="0" xfId="0" applyAlignment="1" applyFon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166" xfId="0" applyAlignment="1" applyFont="1" applyNumberFormat="1">
      <alignment horizontal="left" readingOrder="0" shrinkToFit="0" wrapText="1"/>
    </xf>
    <xf borderId="0" fillId="0" fontId="3" numFmtId="167" xfId="0" applyAlignment="1" applyFont="1" applyNumberFormat="1">
      <alignment horizontal="left" readingOrder="0" shrinkToFit="0" wrapText="1"/>
    </xf>
    <xf borderId="0" fillId="0" fontId="3" numFmtId="3" xfId="0" applyAlignment="1" applyFont="1" applyNumberFormat="1">
      <alignment horizontal="left" readingOrder="0" shrinkToFit="0" wrapText="1"/>
    </xf>
    <xf borderId="0" fillId="0" fontId="3" numFmtId="165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168" xfId="0" applyAlignment="1" applyFont="1" applyNumberFormat="1">
      <alignment horizontal="left" readingOrder="0" shrinkToFit="0" wrapText="1"/>
    </xf>
    <xf borderId="0" fillId="0" fontId="3" numFmtId="3" xfId="0" applyAlignment="1" applyFont="1" applyNumberFormat="1">
      <alignment horizontal="left" shrinkToFit="0" wrapText="1"/>
    </xf>
    <xf borderId="0" fillId="0" fontId="3" numFmtId="165" xfId="0" applyAlignment="1" applyFont="1" applyNumberFormat="1">
      <alignment horizontal="left" shrinkToFit="0" wrapText="1"/>
    </xf>
    <xf borderId="0" fillId="0" fontId="3" numFmtId="168" xfId="0" applyAlignment="1" applyFont="1" applyNumberFormat="1">
      <alignment horizontal="left" shrinkToFit="0" wrapText="1"/>
    </xf>
    <xf borderId="0" fillId="0" fontId="3" numFmtId="166" xfId="0" applyAlignment="1" applyFont="1" applyNumberFormat="1">
      <alignment horizontal="left" shrinkToFit="0" wrapText="1"/>
    </xf>
    <xf borderId="0" fillId="0" fontId="7" numFmtId="169" xfId="0" applyFont="1" applyNumberFormat="1"/>
    <xf borderId="0" fillId="3" fontId="2" numFmtId="169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left" readingOrder="0" shrinkToFit="0" wrapText="1"/>
    </xf>
    <xf borderId="0" fillId="0" fontId="3" numFmtId="169" xfId="0" applyAlignment="1" applyFont="1" applyNumberFormat="1">
      <alignment horizontal="left" readingOrder="0" shrinkToFit="0" wrapText="1"/>
    </xf>
    <xf quotePrefix="1" borderId="0" fillId="0" fontId="3" numFmtId="0" xfId="0" applyAlignment="1" applyFont="1">
      <alignment horizontal="left" readingOrder="0" shrinkToFit="0" wrapText="1"/>
    </xf>
    <xf borderId="0" fillId="0" fontId="3" numFmtId="21" xfId="0" applyAlignment="1" applyFont="1" applyNumberFormat="1">
      <alignment horizontal="left" readingOrder="0" shrinkToFit="0" wrapText="1"/>
    </xf>
    <xf borderId="0" fillId="0" fontId="3" numFmtId="170" xfId="0" applyAlignment="1" applyFont="1" applyNumberFormat="1">
      <alignment horizontal="left" shrinkToFit="0" wrapText="1"/>
    </xf>
    <xf borderId="0" fillId="0" fontId="7" numFmtId="21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21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/>
    </xf>
    <xf borderId="0" fillId="2" fontId="1" numFmtId="0" xfId="0" applyAlignment="1" applyFont="1">
      <alignment horizontal="center" readingOrder="0" vertical="center"/>
    </xf>
    <xf borderId="0" fillId="0" fontId="7" numFmtId="0" xfId="0" applyFont="1"/>
    <xf borderId="0" fillId="0" fontId="7" numFmtId="3" xfId="0" applyFont="1" applyNumberFormat="1"/>
    <xf borderId="0" fillId="0" fontId="7" numFmtId="171" xfId="0" applyFont="1" applyNumberFormat="1"/>
    <xf borderId="0" fillId="3" fontId="2" numFmtId="3" xfId="0" applyAlignment="1" applyFont="1" applyNumberFormat="1">
      <alignment horizontal="center" readingOrder="0" shrinkToFit="0" vertical="center" wrapText="1"/>
    </xf>
    <xf borderId="0" fillId="3" fontId="2" numFmtId="171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3" xfId="0" applyAlignment="1" applyFont="1" applyNumberFormat="1">
      <alignment readingOrder="0" shrinkToFit="0" wrapText="1"/>
    </xf>
    <xf borderId="0" fillId="0" fontId="3" numFmtId="171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quotePrefix="1"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3" numFmtId="171" xfId="0" applyAlignment="1" applyFont="1" applyNumberFormat="1">
      <alignment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168" xfId="0" applyAlignment="1" applyFont="1" applyNumberFormat="1">
      <alignment shrinkToFit="0" wrapText="1"/>
    </xf>
    <xf borderId="0" fillId="0" fontId="7" numFmtId="49" xfId="0" applyFont="1" applyNumberFormat="1"/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right" readingOrder="0"/>
    </xf>
    <xf borderId="0" fillId="0" fontId="12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shrinkToFit="0" wrapText="1"/>
    </xf>
    <xf borderId="0" fillId="9" fontId="3" numFmtId="0" xfId="0" applyAlignment="1" applyFont="1">
      <alignment vertical="bottom"/>
    </xf>
    <xf borderId="0" fillId="9" fontId="3" numFmtId="3" xfId="0" applyAlignment="1" applyFont="1" applyNumberFormat="1">
      <alignment vertical="bottom"/>
    </xf>
    <xf borderId="0" fillId="9" fontId="3" numFmtId="49" xfId="0" applyAlignment="1" applyFont="1" applyNumberFormat="1">
      <alignment vertical="bottom"/>
    </xf>
    <xf borderId="0" fillId="9" fontId="3" numFmtId="168" xfId="0" applyAlignment="1" applyFont="1" applyNumberFormat="1">
      <alignment vertical="bottom"/>
    </xf>
    <xf borderId="0" fillId="11" fontId="3" numFmtId="0" xfId="0" applyAlignment="1" applyFill="1" applyFont="1">
      <alignment vertical="bottom"/>
    </xf>
    <xf borderId="0" fillId="11" fontId="3" numFmtId="3" xfId="0" applyAlignment="1" applyFont="1" applyNumberFormat="1">
      <alignment vertical="bottom"/>
    </xf>
    <xf borderId="0" fillId="11" fontId="3" numFmtId="49" xfId="0" applyAlignment="1" applyFont="1" applyNumberFormat="1">
      <alignment vertical="bottom"/>
    </xf>
    <xf borderId="0" fillId="11" fontId="3" numFmtId="168" xfId="0" applyAlignment="1" applyFont="1" applyNumberFormat="1">
      <alignment vertical="bottom"/>
    </xf>
    <xf borderId="0" fillId="0" fontId="3" numFmtId="20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0"/>
    </xf>
    <xf borderId="0" fillId="0" fontId="3" numFmtId="170" xfId="0" applyAlignment="1" applyFont="1" applyNumberFormat="1">
      <alignment shrinkToFit="0" wrapText="1"/>
    </xf>
    <xf borderId="0" fillId="11" fontId="3" numFmtId="170" xfId="0" applyAlignment="1" applyFont="1" applyNumberFormat="1">
      <alignment vertical="bottom"/>
    </xf>
    <xf borderId="0" fillId="11" fontId="3" numFmtId="0" xfId="0" applyAlignment="1" applyFont="1">
      <alignment vertical="bottom"/>
    </xf>
    <xf borderId="0" fillId="9" fontId="3" numFmtId="170" xfId="0" applyAlignment="1" applyFont="1" applyNumberFormat="1">
      <alignment vertical="bottom"/>
    </xf>
    <xf borderId="0" fillId="12" fontId="13" numFmtId="0" xfId="0" applyAlignment="1" applyFill="1" applyFont="1">
      <alignment horizontal="left" readingOrder="0" vertical="center"/>
    </xf>
    <xf borderId="0" fillId="13" fontId="13" numFmtId="0" xfId="0" applyAlignment="1" applyFill="1" applyFont="1">
      <alignment horizontal="left" readingOrder="0" vertical="center"/>
    </xf>
    <xf borderId="0" fillId="14" fontId="13" numFmtId="0" xfId="0" applyAlignment="1" applyFill="1" applyFont="1">
      <alignment horizontal="left" readingOrder="0" vertical="center"/>
    </xf>
    <xf borderId="0" fillId="14" fontId="14" numFmtId="0" xfId="0" applyFont="1"/>
    <xf borderId="0" fillId="15" fontId="15" numFmtId="0" xfId="0" applyAlignment="1" applyFill="1" applyFont="1">
      <alignment readingOrder="0"/>
    </xf>
    <xf borderId="1" fillId="16" fontId="16" numFmtId="0" xfId="0" applyAlignment="1" applyBorder="1" applyFill="1" applyFont="1">
      <alignment readingOrder="0"/>
    </xf>
    <xf borderId="0" fillId="14" fontId="14" numFmtId="0" xfId="0" applyAlignment="1" applyFont="1">
      <alignment readingOrder="0"/>
    </xf>
    <xf borderId="0" fillId="15" fontId="17" numFmtId="0" xfId="0" applyAlignment="1" applyFont="1">
      <alignment readingOrder="0"/>
    </xf>
    <xf borderId="0" fillId="14" fontId="18" numFmtId="0" xfId="0" applyAlignment="1" applyFont="1">
      <alignment readingOrder="0"/>
    </xf>
    <xf borderId="0" fillId="14" fontId="14" numFmtId="169" xfId="0" applyFont="1" applyNumberFormat="1"/>
    <xf borderId="0" fillId="17" fontId="14" numFmtId="0" xfId="0" applyAlignment="1" applyFill="1" applyFont="1">
      <alignment readingOrder="0"/>
    </xf>
    <xf borderId="0" fillId="14" fontId="14" numFmtId="0" xfId="0" applyAlignment="1" applyFont="1">
      <alignment horizontal="left"/>
    </xf>
    <xf borderId="0" fillId="14" fontId="14" numFmtId="169" xfId="0" applyAlignment="1" applyFont="1" applyNumberFormat="1">
      <alignment horizontal="left"/>
    </xf>
    <xf borderId="0" fillId="14" fontId="14" numFmtId="3" xfId="0" applyAlignment="1" applyFont="1" applyNumberFormat="1">
      <alignment horizontal="left"/>
    </xf>
    <xf borderId="0" fillId="14" fontId="14" numFmtId="169" xfId="0" applyAlignment="1" applyFont="1" applyNumberFormat="1">
      <alignment horizontal="left"/>
    </xf>
    <xf borderId="0" fillId="14" fontId="14" numFmtId="172" xfId="0" applyAlignment="1" applyFont="1" applyNumberFormat="1">
      <alignment horizontal="left"/>
    </xf>
    <xf borderId="0" fillId="14" fontId="14" numFmtId="3" xfId="0" applyFont="1" applyNumberFormat="1"/>
    <xf borderId="0" fillId="14" fontId="14" numFmtId="172" xfId="0" applyFont="1" applyNumberFormat="1"/>
    <xf borderId="0" fillId="14" fontId="14" numFmtId="167" xfId="0" applyAlignment="1" applyFont="1" applyNumberFormat="1">
      <alignment horizontal="left"/>
    </xf>
    <xf borderId="0" fillId="14" fontId="14" numFmtId="0" xfId="0" applyAlignment="1" applyFont="1">
      <alignment horizontal="left" shrinkToFit="0" wrapText="0"/>
    </xf>
    <xf borderId="0" fillId="14" fontId="14" numFmtId="173" xfId="0" applyAlignment="1" applyFont="1" applyNumberFormat="1">
      <alignment horizontal="left"/>
    </xf>
    <xf borderId="0" fillId="14" fontId="14" numFmtId="4" xfId="0" applyAlignment="1" applyFont="1" applyNumberFormat="1">
      <alignment horizontal="left"/>
    </xf>
    <xf borderId="0" fillId="14" fontId="14" numFmtId="4" xfId="0" applyFont="1" applyNumberFormat="1"/>
    <xf borderId="0" fillId="14" fontId="14" numFmtId="169" xfId="0" applyAlignment="1" applyFont="1" applyNumberFormat="1">
      <alignment horizontal="left" readingOrder="0"/>
    </xf>
    <xf borderId="0" fillId="15" fontId="14" numFmtId="0" xfId="0" applyFont="1"/>
    <xf borderId="0" fillId="13" fontId="13" numFmtId="3" xfId="0" applyAlignment="1" applyFont="1" applyNumberFormat="1">
      <alignment horizontal="left" readingOrder="0" vertical="center"/>
    </xf>
    <xf borderId="1" fillId="16" fontId="19" numFmtId="0" xfId="0" applyAlignment="1" applyBorder="1" applyFont="1">
      <alignment readingOrder="0"/>
    </xf>
    <xf borderId="0" fillId="14" fontId="17" numFmtId="0" xfId="0" applyAlignment="1" applyFont="1">
      <alignment readingOrder="0"/>
    </xf>
    <xf borderId="0" fillId="12" fontId="17" numFmtId="0" xfId="0" applyAlignment="1" applyFont="1">
      <alignment readingOrder="0"/>
    </xf>
    <xf borderId="1" fillId="16" fontId="14" numFmtId="0" xfId="0" applyAlignment="1" applyBorder="1" applyFont="1">
      <alignment horizontal="left" readingOrder="0"/>
    </xf>
    <xf borderId="0" fillId="14" fontId="19" numFmtId="169" xfId="0" applyAlignment="1" applyFont="1" applyNumberFormat="1">
      <alignment horizontal="left" readingOrder="0"/>
    </xf>
    <xf borderId="0" fillId="14" fontId="20" numFmtId="0" xfId="0" applyAlignment="1" applyFont="1">
      <alignment readingOrder="0"/>
    </xf>
    <xf borderId="0" fillId="14" fontId="21" numFmtId="3" xfId="0" applyAlignment="1" applyFont="1" applyNumberFormat="1">
      <alignment horizontal="left"/>
    </xf>
    <xf borderId="0" fillId="17" fontId="14" numFmtId="0" xfId="0" applyAlignment="1" applyFont="1">
      <alignment horizontal="center" readingOrder="0"/>
    </xf>
    <xf borderId="0" fillId="17" fontId="14" numFmtId="0" xfId="0" applyAlignment="1" applyFont="1">
      <alignment horizontal="left" readingOrder="0"/>
    </xf>
    <xf borderId="0" fillId="17" fontId="14" numFmtId="3" xfId="0" applyAlignment="1" applyFont="1" applyNumberFormat="1">
      <alignment horizontal="left" readingOrder="0"/>
    </xf>
    <xf borderId="0" fillId="17" fontId="14" numFmtId="0" xfId="0" applyFont="1"/>
    <xf borderId="0" fillId="14" fontId="14" numFmtId="49" xfId="0" applyAlignment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91B1B"/>
      </font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</dxfs>
  <tableStyles count="14">
    <tableStyle count="3" pivot="0" name="Students-style">
      <tableStyleElement dxfId="1" type="headerRow"/>
      <tableStyleElement dxfId="2" type="firstRowStripe"/>
      <tableStyleElement dxfId="3" type="secondRowStripe"/>
    </tableStyle>
    <tableStyle count="3" pivot="0" name="Transactions-style">
      <tableStyleElement dxfId="1" type="headerRow"/>
      <tableStyleElement dxfId="2" type="firstRowStripe"/>
      <tableStyleElement dxfId="3" type="secondRowStripe"/>
    </tableStyle>
    <tableStyle count="3" pivot="0" name="Attendance_Log-style">
      <tableStyleElement dxfId="1" type="headerRow"/>
      <tableStyleElement dxfId="2" type="firstRowStripe"/>
      <tableStyleElement dxfId="3" type="secondRowStripe"/>
    </tableStyle>
    <tableStyle count="3" pivot="0" name="Daily_Attendance-style">
      <tableStyleElement dxfId="1" type="headerRow"/>
      <tableStyleElement dxfId="2" type="firstRowStripe"/>
      <tableStyleElement dxfId="3" type="secondRowStripe"/>
    </tableStyle>
    <tableStyle count="3" pivot="0" name="Store-style">
      <tableStyleElement dxfId="1" type="headerRow"/>
      <tableStyleElement dxfId="2" type="firstRowStripe"/>
      <tableStyleElement dxfId="3" type="secondRowStripe"/>
    </tableStyle>
    <tableStyle count="3" pivot="0" name="Student_Inventory-style">
      <tableStyleElement dxfId="1" type="headerRow"/>
      <tableStyleElement dxfId="2" type="firstRowStripe"/>
      <tableStyleElement dxfId="3" type="secondRowStripe"/>
    </tableStyle>
    <tableStyle count="3" pivot="0" name="Jobs-style">
      <tableStyleElement dxfId="1" type="headerRow"/>
      <tableStyleElement dxfId="2" type="firstRowStripe"/>
      <tableStyleElement dxfId="3" type="secondRowStripe"/>
    </tableStyle>
    <tableStyle count="3" pivot="0" name="Payroll_Log-style">
      <tableStyleElement dxfId="1" type="headerRow"/>
      <tableStyleElement dxfId="2" type="firstRowStripe"/>
      <tableStyleElement dxfId="3" type="secondRowStripe"/>
    </tableStyle>
    <tableStyle count="2" pivot="0" name="Payroll_Log-style 2">
      <tableStyleElement dxfId="3" type="firstRowStripe"/>
      <tableStyleElement dxfId="2" type="secondRowStripe"/>
    </tableStyle>
    <tableStyle count="2" pivot="0" name="Payroll_Log-style 3">
      <tableStyleElement dxfId="3" type="firstRowStripe"/>
      <tableStyleElement dxfId="2" type="secondRowStripe"/>
    </tableStyle>
    <tableStyle count="2" pivot="0" name="Payroll_Log-style 4">
      <tableStyleElement dxfId="3" type="firstRowStripe"/>
      <tableStyleElement dxfId="2" type="secondRowStripe"/>
    </tableStyle>
    <tableStyle count="3" pivot="0" name="Settings-style">
      <tableStyleElement dxfId="1" type="headerRow"/>
      <tableStyleElement dxfId="2" type="firstRowStripe"/>
      <tableStyleElement dxfId="3" type="secondRowStripe"/>
    </tableStyle>
    <tableStyle count="3" pivot="0" name="Reports-style">
      <tableStyleElement dxfId="1" type="headerRow"/>
      <tableStyleElement dxfId="2" type="firstRowStripe"/>
      <tableStyleElement dxfId="3" type="secondRowStripe"/>
    </tableStyle>
    <tableStyle count="2" pivot="0" name="Report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1600200</xdr:colOff>
      <xdr:row>0</xdr:row>
      <xdr:rowOff>28575</xdr:rowOff>
    </xdr:from>
    <xdr:ext cx="1219200" cy="295275"/>
    <xdr:sp>
      <xdr:nvSpPr>
        <xdr:cNvPr id="3" name="Shape 3"/>
        <xdr:cNvSpPr/>
      </xdr:nvSpPr>
      <xdr:spPr>
        <a:xfrm>
          <a:off x="2128550" y="1032050"/>
          <a:ext cx="6528000" cy="15723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200">
              <a:latin typeface="Calibri"/>
              <a:ea typeface="Calibri"/>
              <a:cs typeface="Calibri"/>
              <a:sym typeface="Calibri"/>
            </a:rPr>
            <a:t>Run Payroll</a:t>
          </a:r>
          <a:endParaRPr b="1" sz="5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5</xdr:row>
      <xdr:rowOff>85725</xdr:rowOff>
    </xdr:from>
    <xdr:ext cx="1171575" cy="285750"/>
    <xdr:sp>
      <xdr:nvSpPr>
        <xdr:cNvPr id="4" name="Shape 4"/>
        <xdr:cNvSpPr/>
      </xdr:nvSpPr>
      <xdr:spPr>
        <a:xfrm>
          <a:off x="2128550" y="1032050"/>
          <a:ext cx="6528000" cy="1572300"/>
        </a:xfrm>
        <a:prstGeom prst="roundRect">
          <a:avLst>
            <a:gd fmla="val 16667" name="adj"/>
          </a:avLst>
        </a:prstGeom>
        <a:solidFill>
          <a:srgbClr val="C9DAF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200">
              <a:latin typeface="Calibri"/>
              <a:ea typeface="Calibri"/>
              <a:cs typeface="Calibri"/>
              <a:sym typeface="Calibri"/>
            </a:rPr>
            <a:t>Place Order</a:t>
          </a:r>
          <a:endParaRPr b="1" sz="5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59" displayName="Table_1" name="Table_1" id="1">
  <tableColumns count="11">
    <tableColumn name="Card_ID" id="1"/>
    <tableColumn name="Student_Name" id="2"/>
    <tableColumn name="Grade" id="3"/>
    <tableColumn name="Homeroom" id="4"/>
    <tableColumn name="Balance" id="5"/>
    <tableColumn name="Job_Title" id="6"/>
    <tableColumn name="Active" id="7"/>
    <tableColumn name="Last_Updated" id="8"/>
    <tableColumn name="Attendance_Streak" id="9"/>
    <tableColumn name="Last_Attendance_Date" id="10"/>
    <tableColumn name="Notes" id="11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ref="A3:L189" displayName="Table_2" name="Table_2" id="2">
  <tableColumns count="12">
    <tableColumn name="Timestamp" id="1"/>
    <tableColumn name="Date" id="2"/>
    <tableColumn name="Card_ID" id="3"/>
    <tableColumn name="Student_Name" id="4"/>
    <tableColumn name="Mode" id="5"/>
    <tableColumn name="Amount" id="6"/>
    <tableColumn name="Starting_Balance" id="7"/>
    <tableColumn name="Ending_Balance" id="8"/>
    <tableColumn name="Item_ID" id="9"/>
    <tableColumn name="Item_Name" id="10"/>
    <tableColumn name="Note" id="11"/>
    <tableColumn name="Status" id="12"/>
  </tableColumns>
  <tableStyleInfo name="Transactions-style" showColumnStripes="0" showFirstColumn="1" showLastColumn="1" showRowStripes="1"/>
</table>
</file>

<file path=xl/tables/table3.xml><?xml version="1.0" encoding="utf-8"?>
<table xmlns="http://schemas.openxmlformats.org/spreadsheetml/2006/main" ref="A3:M136" displayName="Table_3" name="Table_3" id="3">
  <tableColumns count="13">
    <tableColumn name="Timestamp" id="1"/>
    <tableColumn name="Date" id="2"/>
    <tableColumn name="Card_ID" id="3"/>
    <tableColumn name="Student_Name" id="4"/>
    <tableColumn name="Grade" id="5"/>
    <tableColumn name="Homeroom" id="6"/>
    <tableColumn name="Class_Period" id="7"/>
    <tableColumn name="Status" id="8"/>
    <tableColumn name="Check_In_Time" id="9"/>
    <tableColumn name="Streak_After_Scan" id="10"/>
    <tableColumn name="Bonus_Applied" id="11"/>
    <tableColumn name="Note" id="12"/>
    <tableColumn name="System_Status" id="13"/>
  </tableColumns>
  <tableStyleInfo name="Attendance_Log-style" showColumnStripes="0" showFirstColumn="1" showLastColumn="1" showRowStripes="1"/>
</table>
</file>

<file path=xl/tables/table4.xml><?xml version="1.0" encoding="utf-8"?>
<table xmlns="http://schemas.openxmlformats.org/spreadsheetml/2006/main" headerRowCount="0" ref="A3:K112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aily_Attend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3:G17" displayName="Table_5" name="Table_5" id="5">
  <tableColumns count="7">
    <tableColumn name="Item_ID" id="1"/>
    <tableColumn name="Item_Name" id="2"/>
    <tableColumn name="Price" id="3"/>
    <tableColumn name="Active" id="4"/>
    <tableColumn name="Inventory" id="5"/>
    <tableColumn name="Category" id="6"/>
    <tableColumn name="Description" id="7"/>
  </tableColumns>
  <tableStyleInfo name="Store-style" showColumnStripes="0" showFirstColumn="1" showLastColumn="1" showRowStripes="1"/>
</table>
</file>

<file path=xl/tables/table6.xml><?xml version="1.0" encoding="utf-8"?>
<table xmlns="http://schemas.openxmlformats.org/spreadsheetml/2006/main" ref="A3:I149" displayName="Table_6" name="Table_6" id="6">
  <tableColumns count="9">
    <tableColumn name="Card_ID" id="1"/>
    <tableColumn name="Student_Name" id="2"/>
    <tableColumn name="Item_ID" id="3"/>
    <tableColumn name="Item_Name" id="4"/>
    <tableColumn name="Category" id="5"/>
    <tableColumn name="Quantity_Purchased" id="6"/>
    <tableColumn name="Total_Spent" id="7"/>
    <tableColumn name="Last_Purchased" id="8"/>
    <tableColumn name="Last_Updated" id="9"/>
  </tableColumns>
  <tableStyleInfo name="Student_Inventory-style" showColumnStripes="0" showFirstColumn="1" showLastColumn="1" showRowStripes="1"/>
</table>
</file>

<file path=xl/tables/table7.xml><?xml version="1.0" encoding="utf-8"?>
<table xmlns="http://schemas.openxmlformats.org/spreadsheetml/2006/main" ref="A3:H14" displayName="Table_7" name="Table_7" id="7">
  <tableColumns count="8">
    <tableColumn name="Card_ID" id="1"/>
    <tableColumn name="Student_Name" id="2"/>
    <tableColumn name="Job_Title" id="3"/>
    <tableColumn name="Salary" id="4"/>
    <tableColumn name="Frequency" id="5"/>
    <tableColumn name="Active" id="6"/>
    <tableColumn name="Last_Paid" id="7"/>
    <tableColumn name="Notes" id="8"/>
  </tableColumns>
  <tableStyleInfo name="Jobs-style" showColumnStripes="0" showFirstColumn="1" showLastColumn="1" showRowStripes="1"/>
</table>
</file>

<file path=xl/tables/table8.xml><?xml version="1.0" encoding="utf-8"?>
<table xmlns="http://schemas.openxmlformats.org/spreadsheetml/2006/main" ref="A3:K421" displayName="Table_8" name="Table_8" id="8">
  <tableColumns count="11">
    <tableColumn name="Payroll_Run_At" id="1"/>
    <tableColumn name="Pay_Period_Start" id="2"/>
    <tableColumn name="Pay_Period_End" id="3"/>
    <tableColumn name="Duration_Days" id="4"/>
    <tableColumn name="Card_ID" id="5"/>
    <tableColumn name="Student_Name" id="6"/>
    <tableColumn name="Job_Title" id="7"/>
    <tableColumn name="Salary" id="8"/>
    <tableColumn name="Pay_Frequency" id="9"/>
    <tableColumn name="Automatic" id="10"/>
    <tableColumn name="Status" id="11"/>
  </tableColumns>
  <tableStyleInfo name="Payroll_Log-style" showColumnStripes="0" showFirstColumn="1" showLastColumn="1" showRowStripes="1"/>
</table>
</file>

<file path=xl/tables/table9.xml><?xml version="1.0" encoding="utf-8"?>
<table xmlns="http://schemas.openxmlformats.org/spreadsheetml/2006/main" headerRowCount="0" ref="A422:K633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ayroll_Log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634:K845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ayroll_Log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846:K1057" displayName="Table_11" name="Table_11" id="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ayroll_Log-style 4" showColumnStripes="0" showFirstColumn="1" showLastColumn="1" showRowStripes="1"/>
</table>
</file>

<file path=xl/tables/table12.xml><?xml version="1.0" encoding="utf-8"?>
<table xmlns="http://schemas.openxmlformats.org/spreadsheetml/2006/main" ref="A3:C19" displayName="Table_12" name="Table_12" id="12">
  <tableColumns count="3">
    <tableColumn name="Setting" id="1"/>
    <tableColumn name="Value" id="2"/>
    <tableColumn name="Description" id="3"/>
  </tableColumns>
  <tableStyleInfo name="Settings-style" showColumnStripes="0" showFirstColumn="1" showLastColumn="1" showRowStripes="1"/>
</table>
</file>

<file path=xl/tables/table13.xml><?xml version="1.0" encoding="utf-8"?>
<table xmlns="http://schemas.openxmlformats.org/spreadsheetml/2006/main" ref="A3:H434" displayName="Table_13" name="Table_13" id="13">
  <tableColumns count="8">
    <tableColumn name="Generated_At" id="1"/>
    <tableColumn name="Report_Type" id="2"/>
    <tableColumn name="Date" id="3"/>
    <tableColumn name="Class_Period" id="4"/>
    <tableColumn name="Present" id="5"/>
    <tableColumn name="Late" id="6"/>
    <tableColumn name="Absent" id="7"/>
    <tableColumn name="Details" id="8"/>
  </tableColumns>
  <tableStyleInfo name="Reports-style" showColumnStripes="0" showFirstColumn="1" showLastColumn="1" showRowStripes="1"/>
</table>
</file>

<file path=xl/tables/table14.xml><?xml version="1.0" encoding="utf-8"?>
<table xmlns="http://schemas.openxmlformats.org/spreadsheetml/2006/main" headerRowCount="0" ref="A648:H862" displayName="Table_14" name="Table_14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por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6mpxI00ZamfDDSzu00Cj-SOCvnEm4UrPOwK2-H9_Zc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4.0"/>
    <col customWidth="1" min="3" max="3" width="70.0"/>
    <col customWidth="1" min="4" max="6" width="8.0"/>
  </cols>
  <sheetData>
    <row r="1" ht="30.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/>
      <c r="E3" s="2"/>
      <c r="F3" s="2"/>
    </row>
    <row r="4">
      <c r="A4" s="3" t="s">
        <v>4</v>
      </c>
      <c r="B4" s="3" t="s">
        <v>5</v>
      </c>
      <c r="C4" s="3" t="s">
        <v>6</v>
      </c>
      <c r="D4" s="3"/>
      <c r="E4" s="3"/>
      <c r="F4" s="3"/>
    </row>
    <row r="5">
      <c r="A5" s="3" t="s">
        <v>7</v>
      </c>
      <c r="B5" s="3" t="s">
        <v>8</v>
      </c>
      <c r="C5" s="3" t="s">
        <v>9</v>
      </c>
      <c r="D5" s="3"/>
      <c r="E5" s="3"/>
      <c r="F5" s="3"/>
    </row>
    <row r="6">
      <c r="A6" s="3" t="s">
        <v>10</v>
      </c>
      <c r="B6" s="3" t="s">
        <v>11</v>
      </c>
      <c r="C6" s="3" t="s">
        <v>12</v>
      </c>
      <c r="D6" s="3"/>
      <c r="E6" s="3"/>
      <c r="F6" s="3"/>
    </row>
    <row r="7">
      <c r="A7" s="3" t="s">
        <v>13</v>
      </c>
      <c r="B7" s="3" t="s">
        <v>14</v>
      </c>
      <c r="C7" s="3" t="s">
        <v>15</v>
      </c>
      <c r="D7" s="3"/>
      <c r="E7" s="3"/>
      <c r="F7" s="3"/>
    </row>
    <row r="8">
      <c r="A8" s="3" t="s">
        <v>16</v>
      </c>
      <c r="B8" s="3" t="s">
        <v>17</v>
      </c>
      <c r="C8" s="3" t="s">
        <v>18</v>
      </c>
      <c r="D8" s="3"/>
      <c r="E8" s="3"/>
      <c r="F8" s="3"/>
    </row>
    <row r="9">
      <c r="A9" s="3" t="s">
        <v>19</v>
      </c>
      <c r="B9" s="3" t="s">
        <v>20</v>
      </c>
      <c r="C9" s="3" t="s">
        <v>21</v>
      </c>
      <c r="D9" s="3"/>
      <c r="E9" s="3"/>
      <c r="F9" s="3"/>
    </row>
    <row r="10">
      <c r="A10" s="3" t="s">
        <v>22</v>
      </c>
      <c r="B10" s="3" t="s">
        <v>23</v>
      </c>
      <c r="C10" s="3" t="s">
        <v>24</v>
      </c>
      <c r="D10" s="3"/>
      <c r="E10" s="3"/>
      <c r="F10" s="3"/>
    </row>
    <row r="11">
      <c r="A11" s="3" t="s">
        <v>25</v>
      </c>
      <c r="B11" s="3" t="s">
        <v>26</v>
      </c>
      <c r="C11" s="3" t="s">
        <v>27</v>
      </c>
      <c r="D11" s="3"/>
      <c r="E11" s="3"/>
      <c r="F11" s="3"/>
    </row>
    <row r="13">
      <c r="A13" s="4" t="s">
        <v>28</v>
      </c>
    </row>
    <row r="14">
      <c r="A14" s="5" t="s">
        <v>29</v>
      </c>
    </row>
    <row r="15">
      <c r="A15" s="5" t="s">
        <v>30</v>
      </c>
    </row>
    <row r="16">
      <c r="A16" s="5" t="s">
        <v>31</v>
      </c>
    </row>
    <row r="17">
      <c r="A17" s="5" t="s">
        <v>32</v>
      </c>
    </row>
    <row r="18">
      <c r="A18" s="5" t="s">
        <v>33</v>
      </c>
    </row>
    <row r="19">
      <c r="A19" s="5" t="s">
        <v>34</v>
      </c>
    </row>
    <row r="20">
      <c r="A20" s="5"/>
      <c r="B20" s="5"/>
      <c r="C20" s="5"/>
      <c r="D20" s="5"/>
      <c r="E20" s="5"/>
      <c r="F20" s="5"/>
    </row>
    <row r="21">
      <c r="A21" s="6" t="s">
        <v>35</v>
      </c>
      <c r="B21" s="7" t="s">
        <v>36</v>
      </c>
    </row>
  </sheetData>
  <mergeCells count="9">
    <mergeCell ref="A19:F19"/>
    <mergeCell ref="B21:F21"/>
    <mergeCell ref="A1:F1"/>
    <mergeCell ref="A13:F13"/>
    <mergeCell ref="A14:F14"/>
    <mergeCell ref="A15:F15"/>
    <mergeCell ref="A16:F16"/>
    <mergeCell ref="A17:F17"/>
    <mergeCell ref="A18:F18"/>
  </mergeCells>
  <hyperlinks>
    <hyperlink r:id="rId1" ref="B2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</row>
    <row r="2">
      <c r="A2" s="9">
        <v>46183.604849537034</v>
      </c>
      <c r="B2" s="10">
        <v>46183.0</v>
      </c>
      <c r="C2" s="11" t="s">
        <v>45</v>
      </c>
      <c r="D2" s="11" t="s">
        <v>46</v>
      </c>
      <c r="E2" s="11" t="s">
        <v>47</v>
      </c>
      <c r="F2" s="12">
        <v>1.0</v>
      </c>
      <c r="G2" s="9">
        <v>46183.60494212963</v>
      </c>
    </row>
    <row r="3">
      <c r="A3" s="9">
        <v>46183.64457175926</v>
      </c>
      <c r="B3" s="10">
        <v>46183.0</v>
      </c>
      <c r="C3" s="11" t="s">
        <v>48</v>
      </c>
      <c r="D3" s="11" t="s">
        <v>49</v>
      </c>
      <c r="E3" s="11" t="s">
        <v>47</v>
      </c>
      <c r="F3" s="12">
        <v>1.0</v>
      </c>
      <c r="G3" s="9">
        <v>46183.64469907407</v>
      </c>
    </row>
    <row r="4">
      <c r="A4" s="9">
        <v>46183.65033564815</v>
      </c>
      <c r="B4" s="10">
        <v>46183.0</v>
      </c>
      <c r="C4" s="11" t="s">
        <v>48</v>
      </c>
      <c r="D4" s="11" t="s">
        <v>50</v>
      </c>
      <c r="E4" s="11" t="s">
        <v>47</v>
      </c>
      <c r="F4" s="12">
        <v>1.0</v>
      </c>
      <c r="G4" s="9">
        <v>46183.650972222225</v>
      </c>
    </row>
    <row r="5">
      <c r="A5" s="9">
        <v>46183.65416666667</v>
      </c>
      <c r="B5" s="10">
        <v>46183.0</v>
      </c>
      <c r="C5" s="11" t="s">
        <v>48</v>
      </c>
      <c r="D5" s="11" t="s">
        <v>51</v>
      </c>
      <c r="E5" s="11" t="s">
        <v>47</v>
      </c>
      <c r="F5" s="12">
        <v>1.0</v>
      </c>
      <c r="G5" s="9">
        <v>46183.65443287037</v>
      </c>
    </row>
    <row r="6">
      <c r="A6" s="9">
        <v>46183.870671296296</v>
      </c>
      <c r="B6" s="10">
        <v>46183.0</v>
      </c>
      <c r="C6" s="11" t="s">
        <v>48</v>
      </c>
      <c r="D6" s="11" t="s">
        <v>52</v>
      </c>
      <c r="E6" s="11" t="s">
        <v>47</v>
      </c>
      <c r="F6" s="12">
        <v>1.0</v>
      </c>
      <c r="G6" s="9">
        <v>46183.871099537035</v>
      </c>
    </row>
    <row r="7">
      <c r="A7" s="9">
        <v>46183.87082175926</v>
      </c>
      <c r="B7" s="10">
        <v>46183.0</v>
      </c>
      <c r="C7" s="11" t="s">
        <v>48</v>
      </c>
      <c r="D7" s="11" t="s">
        <v>53</v>
      </c>
      <c r="E7" s="11" t="s">
        <v>47</v>
      </c>
      <c r="F7" s="12">
        <v>1.0</v>
      </c>
      <c r="G7" s="9">
        <v>46183.87111111111</v>
      </c>
    </row>
    <row r="8">
      <c r="A8" s="9">
        <v>46184.44569444444</v>
      </c>
      <c r="B8" s="10">
        <v>46184.0</v>
      </c>
      <c r="C8" s="11" t="s">
        <v>48</v>
      </c>
      <c r="D8" s="11" t="s">
        <v>54</v>
      </c>
      <c r="E8" s="11" t="s">
        <v>47</v>
      </c>
      <c r="F8" s="12">
        <v>1.0</v>
      </c>
      <c r="G8" s="9">
        <v>46184.44609953704</v>
      </c>
    </row>
    <row r="9">
      <c r="A9" s="9">
        <v>46184.449479166666</v>
      </c>
      <c r="B9" s="10">
        <v>46184.0</v>
      </c>
      <c r="C9" s="11" t="s">
        <v>48</v>
      </c>
      <c r="D9" s="11" t="s">
        <v>55</v>
      </c>
      <c r="E9" s="11" t="s">
        <v>47</v>
      </c>
      <c r="F9" s="12">
        <v>1.0</v>
      </c>
      <c r="G9" s="9">
        <v>46184.44956018519</v>
      </c>
    </row>
    <row r="10">
      <c r="A10" s="9">
        <v>46184.45015046296</v>
      </c>
      <c r="B10" s="10">
        <v>46184.0</v>
      </c>
      <c r="C10" s="11" t="s">
        <v>48</v>
      </c>
      <c r="D10" s="11" t="s">
        <v>56</v>
      </c>
      <c r="E10" s="11" t="s">
        <v>47</v>
      </c>
      <c r="F10" s="12">
        <v>1.0</v>
      </c>
      <c r="G10" s="9">
        <v>46184.450266203705</v>
      </c>
    </row>
    <row r="11">
      <c r="A11" s="9">
        <v>46184.45034722222</v>
      </c>
      <c r="B11" s="10">
        <v>46184.0</v>
      </c>
      <c r="C11" s="11" t="s">
        <v>48</v>
      </c>
      <c r="D11" s="11" t="s">
        <v>57</v>
      </c>
      <c r="E11" s="11" t="s">
        <v>47</v>
      </c>
      <c r="F11" s="12">
        <v>1.0</v>
      </c>
      <c r="G11" s="9">
        <v>46184.45096064815</v>
      </c>
    </row>
    <row r="12">
      <c r="A12" s="9">
        <v>46184.64739583334</v>
      </c>
      <c r="B12" s="10">
        <v>46184.0</v>
      </c>
      <c r="C12" s="11" t="s">
        <v>48</v>
      </c>
      <c r="D12" s="11" t="s">
        <v>58</v>
      </c>
      <c r="E12" s="11" t="s">
        <v>47</v>
      </c>
      <c r="F12" s="12">
        <v>1.0</v>
      </c>
      <c r="G12" s="9">
        <v>46184.64747685185</v>
      </c>
    </row>
    <row r="13">
      <c r="A13" s="9">
        <v>46184.658067129625</v>
      </c>
      <c r="B13" s="10">
        <v>46184.0</v>
      </c>
      <c r="C13" s="11" t="s">
        <v>48</v>
      </c>
      <c r="D13" s="11" t="s">
        <v>59</v>
      </c>
      <c r="E13" s="11" t="s">
        <v>47</v>
      </c>
      <c r="F13" s="12">
        <v>1.0</v>
      </c>
      <c r="G13" s="9">
        <v>46184.658587962964</v>
      </c>
    </row>
    <row r="14">
      <c r="A14" s="9">
        <v>46185.38172453704</v>
      </c>
      <c r="B14" s="10">
        <v>46185.0</v>
      </c>
      <c r="C14" s="11" t="s">
        <v>48</v>
      </c>
      <c r="D14" s="11" t="s">
        <v>60</v>
      </c>
      <c r="E14" s="11" t="s">
        <v>47</v>
      </c>
      <c r="F14" s="12">
        <v>1.0</v>
      </c>
      <c r="G14" s="9">
        <v>46185.382199074076</v>
      </c>
    </row>
    <row r="15">
      <c r="A15" s="9">
        <v>46186.342314814814</v>
      </c>
      <c r="B15" s="10">
        <v>46186.0</v>
      </c>
      <c r="C15" s="11" t="s">
        <v>48</v>
      </c>
      <c r="D15" s="11" t="s">
        <v>61</v>
      </c>
      <c r="E15" s="11" t="s">
        <v>47</v>
      </c>
      <c r="F15" s="12">
        <v>1.0</v>
      </c>
      <c r="G15" s="9">
        <v>46186.342627314814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62</v>
      </c>
      <c r="B1" s="8" t="s">
        <v>38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41</v>
      </c>
    </row>
    <row r="2">
      <c r="A2" s="9">
        <v>46183.54954861111</v>
      </c>
      <c r="B2" s="10">
        <v>46183.0</v>
      </c>
      <c r="C2" s="11">
        <v>1234.0</v>
      </c>
      <c r="D2" s="11" t="s">
        <v>72</v>
      </c>
      <c r="G2" s="11">
        <v>5587.0</v>
      </c>
      <c r="H2" s="11" t="s">
        <v>73</v>
      </c>
      <c r="I2" s="11" t="s">
        <v>74</v>
      </c>
      <c r="J2" s="12">
        <v>1.0</v>
      </c>
      <c r="K2" s="11" t="s">
        <v>75</v>
      </c>
      <c r="L2" s="11" t="s">
        <v>76</v>
      </c>
    </row>
    <row r="3">
      <c r="A3" s="9">
        <v>46183.562789351854</v>
      </c>
      <c r="B3" s="10">
        <v>46183.0</v>
      </c>
      <c r="C3" s="11">
        <v>1234.0</v>
      </c>
      <c r="D3" s="11" t="s">
        <v>72</v>
      </c>
      <c r="E3" s="12">
        <v>11.0</v>
      </c>
      <c r="G3" s="11">
        <v>5587.0</v>
      </c>
      <c r="H3" s="11" t="s">
        <v>73</v>
      </c>
      <c r="I3" s="11" t="s">
        <v>74</v>
      </c>
      <c r="J3" s="12">
        <v>1.0</v>
      </c>
      <c r="K3" s="11" t="s">
        <v>77</v>
      </c>
      <c r="L3" s="11" t="s">
        <v>76</v>
      </c>
    </row>
    <row r="4">
      <c r="A4" s="9">
        <v>46183.570289351854</v>
      </c>
      <c r="B4" s="10">
        <v>46183.0</v>
      </c>
      <c r="C4" s="11">
        <v>1234.0</v>
      </c>
      <c r="D4" s="11" t="s">
        <v>72</v>
      </c>
      <c r="E4" s="12">
        <v>11.0</v>
      </c>
      <c r="G4" s="11">
        <v>5587.0</v>
      </c>
      <c r="H4" s="11" t="s">
        <v>73</v>
      </c>
      <c r="I4" s="11" t="s">
        <v>74</v>
      </c>
      <c r="J4" s="12">
        <v>1.0</v>
      </c>
      <c r="L4" s="11" t="s">
        <v>76</v>
      </c>
    </row>
    <row r="5">
      <c r="A5" s="9">
        <v>46183.570763888885</v>
      </c>
      <c r="B5" s="10">
        <v>46183.0</v>
      </c>
      <c r="C5" s="11">
        <v>1234.0</v>
      </c>
      <c r="D5" s="11" t="s">
        <v>72</v>
      </c>
      <c r="E5" s="12">
        <v>11.0</v>
      </c>
      <c r="G5" s="11">
        <v>5587.0</v>
      </c>
      <c r="H5" s="11" t="s">
        <v>73</v>
      </c>
      <c r="I5" s="11" t="s">
        <v>74</v>
      </c>
      <c r="J5" s="12">
        <v>2.0</v>
      </c>
      <c r="L5" s="11" t="s">
        <v>76</v>
      </c>
    </row>
    <row r="6">
      <c r="A6" s="9">
        <v>46183.574375</v>
      </c>
      <c r="B6" s="10">
        <v>46183.0</v>
      </c>
      <c r="C6" s="11">
        <v>1234.0</v>
      </c>
      <c r="D6" s="11" t="s">
        <v>72</v>
      </c>
      <c r="E6" s="12">
        <v>11.0</v>
      </c>
      <c r="G6" s="11">
        <v>5587.0</v>
      </c>
      <c r="H6" s="11" t="s">
        <v>73</v>
      </c>
      <c r="I6" s="11" t="s">
        <v>74</v>
      </c>
      <c r="J6" s="12">
        <v>1.0</v>
      </c>
      <c r="L6" s="11" t="s">
        <v>78</v>
      </c>
    </row>
    <row r="7">
      <c r="A7" s="9">
        <v>46183.57457175926</v>
      </c>
      <c r="B7" s="10">
        <v>46183.0</v>
      </c>
      <c r="C7" s="11">
        <v>1234.0</v>
      </c>
      <c r="D7" s="11" t="s">
        <v>72</v>
      </c>
      <c r="E7" s="12">
        <v>11.0</v>
      </c>
      <c r="G7" s="11">
        <v>5587.0</v>
      </c>
      <c r="H7" s="11" t="s">
        <v>73</v>
      </c>
      <c r="I7" s="11" t="s">
        <v>74</v>
      </c>
      <c r="J7" s="12">
        <v>1.0</v>
      </c>
      <c r="L7" s="11" t="s">
        <v>78</v>
      </c>
    </row>
    <row r="8">
      <c r="A8" s="9">
        <v>46183.57497685185</v>
      </c>
      <c r="B8" s="10">
        <v>46183.0</v>
      </c>
      <c r="C8" s="11">
        <v>3466.0</v>
      </c>
      <c r="D8" s="11" t="s">
        <v>79</v>
      </c>
      <c r="E8" s="12">
        <v>11.0</v>
      </c>
      <c r="F8" s="11" t="s">
        <v>80</v>
      </c>
      <c r="G8" s="11">
        <v>9965.0</v>
      </c>
      <c r="H8" s="11" t="s">
        <v>81</v>
      </c>
      <c r="I8" s="11" t="s">
        <v>82</v>
      </c>
      <c r="J8" s="12">
        <v>1.0</v>
      </c>
      <c r="K8" s="11" t="s">
        <v>83</v>
      </c>
      <c r="L8" s="11" t="s">
        <v>78</v>
      </c>
    </row>
    <row r="9">
      <c r="A9" s="9">
        <v>46183.58868055556</v>
      </c>
      <c r="B9" s="10">
        <v>46183.0</v>
      </c>
      <c r="C9" s="11">
        <v>4647.0</v>
      </c>
      <c r="D9" s="11" t="s">
        <v>84</v>
      </c>
      <c r="E9" s="12">
        <v>8.0</v>
      </c>
      <c r="G9" s="11">
        <v>5587.0</v>
      </c>
      <c r="H9" s="11" t="s">
        <v>73</v>
      </c>
      <c r="I9" s="11" t="s">
        <v>74</v>
      </c>
      <c r="J9" s="12">
        <v>1.0</v>
      </c>
      <c r="L9" s="11" t="s">
        <v>78</v>
      </c>
    </row>
    <row r="10">
      <c r="A10" s="9">
        <v>46183.64454861111</v>
      </c>
      <c r="B10" s="10">
        <v>46183.0</v>
      </c>
      <c r="C10" s="11">
        <v>1234.0</v>
      </c>
      <c r="D10" s="11" t="s">
        <v>72</v>
      </c>
      <c r="E10" s="12">
        <v>11.0</v>
      </c>
      <c r="G10" s="11">
        <v>5587.0</v>
      </c>
      <c r="H10" s="11" t="s">
        <v>73</v>
      </c>
      <c r="I10" s="11" t="s">
        <v>74</v>
      </c>
      <c r="J10" s="12">
        <v>1.0</v>
      </c>
      <c r="K10" s="11" t="s">
        <v>85</v>
      </c>
      <c r="L10" s="11" t="s">
        <v>78</v>
      </c>
    </row>
    <row r="11">
      <c r="A11" s="9">
        <v>46183.6503125</v>
      </c>
      <c r="B11" s="10">
        <v>46183.0</v>
      </c>
      <c r="C11" s="11">
        <v>2233.0</v>
      </c>
      <c r="D11" s="11" t="s">
        <v>86</v>
      </c>
      <c r="E11" s="11" t="s">
        <v>87</v>
      </c>
      <c r="G11" s="11">
        <v>3313.0</v>
      </c>
      <c r="H11" s="13" t="s">
        <v>88</v>
      </c>
      <c r="I11" s="11" t="s">
        <v>74</v>
      </c>
      <c r="J11" s="12">
        <v>1.0</v>
      </c>
      <c r="K11" s="11" t="s">
        <v>89</v>
      </c>
      <c r="L11" s="11" t="s">
        <v>78</v>
      </c>
    </row>
    <row r="12">
      <c r="A12" s="9">
        <v>46183.654131944444</v>
      </c>
      <c r="B12" s="10">
        <v>46183.0</v>
      </c>
      <c r="C12" s="11">
        <v>1234.0</v>
      </c>
      <c r="D12" s="11" t="s">
        <v>72</v>
      </c>
      <c r="E12" s="12">
        <v>11.0</v>
      </c>
      <c r="G12" s="11">
        <v>6655.0</v>
      </c>
      <c r="H12" s="11" t="s">
        <v>90</v>
      </c>
      <c r="I12" s="11" t="s">
        <v>74</v>
      </c>
      <c r="J12" s="12">
        <v>1.0</v>
      </c>
      <c r="L12" s="11" t="s">
        <v>78</v>
      </c>
    </row>
    <row r="13">
      <c r="A13" s="9">
        <v>46183.870625</v>
      </c>
      <c r="B13" s="10">
        <v>46183.0</v>
      </c>
      <c r="C13" s="11">
        <v>1234.0</v>
      </c>
      <c r="D13" s="11" t="s">
        <v>72</v>
      </c>
      <c r="E13" s="12">
        <v>11.0</v>
      </c>
      <c r="G13" s="11">
        <v>3965.0</v>
      </c>
      <c r="H13" s="11" t="s">
        <v>91</v>
      </c>
      <c r="I13" s="11" t="s">
        <v>82</v>
      </c>
      <c r="J13" s="12">
        <v>1.0</v>
      </c>
      <c r="L13" s="11" t="s">
        <v>78</v>
      </c>
    </row>
    <row r="14">
      <c r="A14" s="9">
        <v>46183.870787037034</v>
      </c>
      <c r="B14" s="10">
        <v>46183.0</v>
      </c>
      <c r="C14" s="11">
        <v>1234.0</v>
      </c>
      <c r="D14" s="11" t="s">
        <v>72</v>
      </c>
      <c r="E14" s="12">
        <v>11.0</v>
      </c>
      <c r="G14" s="11">
        <v>3965.0</v>
      </c>
      <c r="H14" s="11" t="s">
        <v>91</v>
      </c>
      <c r="I14" s="11" t="s">
        <v>82</v>
      </c>
      <c r="J14" s="12">
        <v>1.0</v>
      </c>
      <c r="L14" s="11" t="s">
        <v>78</v>
      </c>
    </row>
    <row r="15">
      <c r="A15" s="9">
        <v>46184.44567129629</v>
      </c>
      <c r="B15" s="10">
        <v>46184.0</v>
      </c>
      <c r="C15" s="11" t="s">
        <v>92</v>
      </c>
      <c r="D15" s="11" t="s">
        <v>93</v>
      </c>
      <c r="E15" s="12">
        <v>10.0</v>
      </c>
      <c r="F15" s="11" t="s">
        <v>94</v>
      </c>
      <c r="G15" s="11">
        <v>7734.0</v>
      </c>
      <c r="H15" s="11" t="s">
        <v>95</v>
      </c>
      <c r="I15" s="11" t="s">
        <v>74</v>
      </c>
      <c r="J15" s="12">
        <v>6.0</v>
      </c>
      <c r="K15" s="11" t="s">
        <v>96</v>
      </c>
      <c r="L15" s="11" t="s">
        <v>78</v>
      </c>
    </row>
    <row r="16">
      <c r="A16" s="9">
        <v>46184.44943287037</v>
      </c>
      <c r="B16" s="10">
        <v>46184.0</v>
      </c>
      <c r="C16" s="11" t="s">
        <v>97</v>
      </c>
      <c r="D16" s="11" t="s">
        <v>98</v>
      </c>
      <c r="E16" s="12">
        <v>10.0</v>
      </c>
      <c r="F16" s="11" t="s">
        <v>94</v>
      </c>
      <c r="G16" s="11">
        <v>7734.0</v>
      </c>
      <c r="H16" s="11" t="s">
        <v>95</v>
      </c>
      <c r="I16" s="11" t="s">
        <v>74</v>
      </c>
      <c r="J16" s="12">
        <v>1.0</v>
      </c>
      <c r="K16" s="11" t="s">
        <v>99</v>
      </c>
      <c r="L16" s="11" t="s">
        <v>78</v>
      </c>
    </row>
    <row r="17">
      <c r="A17" s="9">
        <v>46184.45011574074</v>
      </c>
      <c r="B17" s="10">
        <v>46184.0</v>
      </c>
      <c r="C17" s="11" t="s">
        <v>97</v>
      </c>
      <c r="D17" s="11" t="s">
        <v>98</v>
      </c>
      <c r="E17" s="12">
        <v>10.0</v>
      </c>
      <c r="F17" s="11" t="s">
        <v>94</v>
      </c>
      <c r="G17" s="11">
        <v>7734.0</v>
      </c>
      <c r="H17" s="11" t="s">
        <v>95</v>
      </c>
      <c r="I17" s="11" t="s">
        <v>74</v>
      </c>
      <c r="J17" s="12">
        <v>1.0</v>
      </c>
      <c r="K17" s="11" t="s">
        <v>100</v>
      </c>
      <c r="L17" s="11" t="s">
        <v>78</v>
      </c>
    </row>
    <row r="18">
      <c r="A18" s="9">
        <v>46184.45030092593</v>
      </c>
      <c r="B18" s="10">
        <v>46184.0</v>
      </c>
      <c r="C18" s="11" t="s">
        <v>97</v>
      </c>
      <c r="D18" s="11" t="s">
        <v>98</v>
      </c>
      <c r="E18" s="12">
        <v>10.0</v>
      </c>
      <c r="F18" s="11" t="s">
        <v>94</v>
      </c>
      <c r="G18" s="11">
        <v>7734.0</v>
      </c>
      <c r="H18" s="11" t="s">
        <v>95</v>
      </c>
      <c r="I18" s="11" t="s">
        <v>74</v>
      </c>
      <c r="J18" s="12">
        <v>1.0</v>
      </c>
      <c r="K18" s="11" t="s">
        <v>100</v>
      </c>
      <c r="L18" s="11" t="s">
        <v>78</v>
      </c>
    </row>
    <row r="19">
      <c r="A19" s="9">
        <v>46184.64734953704</v>
      </c>
      <c r="B19" s="10">
        <v>46184.0</v>
      </c>
      <c r="C19" s="11">
        <v>1234.0</v>
      </c>
      <c r="D19" s="11" t="s">
        <v>72</v>
      </c>
      <c r="E19" s="12">
        <v>11.0</v>
      </c>
      <c r="G19" s="11">
        <v>7898.0</v>
      </c>
      <c r="H19" s="11" t="s">
        <v>101</v>
      </c>
      <c r="I19" s="11" t="s">
        <v>102</v>
      </c>
      <c r="J19" s="12">
        <v>1.0</v>
      </c>
      <c r="L19" s="11" t="s">
        <v>78</v>
      </c>
    </row>
    <row r="20">
      <c r="A20" s="9">
        <v>46184.65803240741</v>
      </c>
      <c r="B20" s="10">
        <v>46184.0</v>
      </c>
      <c r="C20" s="11">
        <v>1234.0</v>
      </c>
      <c r="D20" s="11" t="s">
        <v>72</v>
      </c>
      <c r="E20" s="12">
        <v>11.0</v>
      </c>
      <c r="G20" s="11">
        <v>7734.0</v>
      </c>
      <c r="H20" s="11" t="s">
        <v>95</v>
      </c>
      <c r="I20" s="11" t="s">
        <v>74</v>
      </c>
      <c r="J20" s="12">
        <v>1.0</v>
      </c>
      <c r="L20" s="11" t="s">
        <v>78</v>
      </c>
    </row>
    <row r="21">
      <c r="A21" s="9">
        <v>46185.381689814814</v>
      </c>
      <c r="B21" s="10">
        <v>46185.0</v>
      </c>
      <c r="C21" s="11" t="s">
        <v>103</v>
      </c>
      <c r="D21" s="11" t="s">
        <v>104</v>
      </c>
      <c r="E21" s="12">
        <v>10.0</v>
      </c>
      <c r="F21" s="11" t="s">
        <v>94</v>
      </c>
      <c r="G21" s="11">
        <v>7734.0</v>
      </c>
      <c r="H21" s="11" t="s">
        <v>95</v>
      </c>
      <c r="I21" s="11" t="s">
        <v>74</v>
      </c>
      <c r="J21" s="12">
        <v>10.0</v>
      </c>
      <c r="K21" s="11" t="s">
        <v>105</v>
      </c>
      <c r="L21" s="11" t="s">
        <v>78</v>
      </c>
    </row>
    <row r="22">
      <c r="A22" s="9">
        <v>46186.34226851852</v>
      </c>
      <c r="B22" s="10">
        <v>46186.0</v>
      </c>
      <c r="C22" s="11">
        <v>1234.0</v>
      </c>
      <c r="D22" s="11" t="s">
        <v>72</v>
      </c>
      <c r="E22" s="12">
        <v>11.0</v>
      </c>
      <c r="G22" s="11">
        <v>7734.0</v>
      </c>
      <c r="H22" s="11" t="s">
        <v>95</v>
      </c>
      <c r="I22" s="11" t="s">
        <v>74</v>
      </c>
      <c r="J22" s="12">
        <v>1.0</v>
      </c>
      <c r="K22" s="11" t="s">
        <v>106</v>
      </c>
      <c r="L22" s="11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62</v>
      </c>
      <c r="B1" s="8" t="s">
        <v>38</v>
      </c>
      <c r="C1" s="8" t="s">
        <v>107</v>
      </c>
      <c r="D1" s="8" t="s">
        <v>2</v>
      </c>
      <c r="E1" s="8" t="s">
        <v>108</v>
      </c>
      <c r="F1" s="8" t="s">
        <v>40</v>
      </c>
      <c r="G1" s="8" t="s">
        <v>109</v>
      </c>
      <c r="H1" s="8" t="s">
        <v>110</v>
      </c>
      <c r="I1" s="8" t="s">
        <v>111</v>
      </c>
      <c r="J1" s="8" t="s">
        <v>112</v>
      </c>
      <c r="K1" s="8" t="s">
        <v>113</v>
      </c>
    </row>
    <row r="2">
      <c r="A2" s="9">
        <v>46183.54262731481</v>
      </c>
      <c r="B2" s="10">
        <v>46183.0</v>
      </c>
      <c r="C2" s="11" t="s">
        <v>114</v>
      </c>
      <c r="D2" s="11" t="s">
        <v>115</v>
      </c>
      <c r="E2" s="11" t="b">
        <v>1</v>
      </c>
      <c r="G2" s="12">
        <v>4563.0</v>
      </c>
      <c r="H2" s="11" t="s">
        <v>116</v>
      </c>
      <c r="I2" s="11" t="s">
        <v>117</v>
      </c>
      <c r="K2" s="11" t="s">
        <v>118</v>
      </c>
    </row>
    <row r="3">
      <c r="A3" s="9">
        <v>46183.54269675926</v>
      </c>
      <c r="B3" s="10">
        <v>46183.0</v>
      </c>
      <c r="C3" s="11" t="s">
        <v>114</v>
      </c>
      <c r="D3" s="11" t="s">
        <v>119</v>
      </c>
      <c r="E3" s="11" t="b">
        <v>1</v>
      </c>
      <c r="G3" s="12">
        <v>3603.0</v>
      </c>
      <c r="H3" s="11" t="s">
        <v>120</v>
      </c>
      <c r="I3" s="11" t="s">
        <v>121</v>
      </c>
      <c r="K3" s="11" t="s">
        <v>122</v>
      </c>
    </row>
    <row r="4">
      <c r="A4" s="9">
        <v>46183.54274305556</v>
      </c>
      <c r="B4" s="10">
        <v>46183.0</v>
      </c>
      <c r="C4" s="11" t="s">
        <v>114</v>
      </c>
      <c r="D4" s="11" t="s">
        <v>123</v>
      </c>
      <c r="E4" s="11" t="b">
        <v>1</v>
      </c>
      <c r="G4" s="12">
        <v>52.0</v>
      </c>
      <c r="H4" s="11" t="s">
        <v>124</v>
      </c>
      <c r="I4" s="11" t="s">
        <v>125</v>
      </c>
      <c r="K4" s="11" t="s">
        <v>126</v>
      </c>
    </row>
    <row r="5">
      <c r="A5" s="9">
        <v>46183.54479166667</v>
      </c>
      <c r="B5" s="10">
        <v>46183.0</v>
      </c>
      <c r="C5" s="11" t="s">
        <v>114</v>
      </c>
      <c r="D5" s="11" t="s">
        <v>115</v>
      </c>
      <c r="E5" s="11" t="b">
        <v>1</v>
      </c>
      <c r="G5" s="12">
        <v>3656.0</v>
      </c>
      <c r="H5" s="11" t="s">
        <v>116</v>
      </c>
      <c r="I5" s="11" t="s">
        <v>127</v>
      </c>
      <c r="K5" s="11" t="s">
        <v>118</v>
      </c>
    </row>
    <row r="6">
      <c r="A6" s="9">
        <v>46183.54484953704</v>
      </c>
      <c r="B6" s="10">
        <v>46183.0</v>
      </c>
      <c r="C6" s="11" t="s">
        <v>114</v>
      </c>
      <c r="D6" s="11" t="s">
        <v>119</v>
      </c>
      <c r="E6" s="11" t="b">
        <v>1</v>
      </c>
      <c r="G6" s="12">
        <v>3108.0</v>
      </c>
      <c r="H6" s="11" t="s">
        <v>128</v>
      </c>
      <c r="I6" s="11" t="s">
        <v>121</v>
      </c>
      <c r="K6" s="11" t="s">
        <v>122</v>
      </c>
    </row>
    <row r="7">
      <c r="A7" s="9">
        <v>46183.544895833336</v>
      </c>
      <c r="B7" s="10">
        <v>46183.0</v>
      </c>
      <c r="C7" s="11" t="s">
        <v>114</v>
      </c>
      <c r="D7" s="11" t="s">
        <v>123</v>
      </c>
      <c r="E7" s="11" t="b">
        <v>1</v>
      </c>
      <c r="G7" s="12">
        <v>16.0</v>
      </c>
      <c r="H7" s="11" t="s">
        <v>129</v>
      </c>
      <c r="I7" s="11" t="s">
        <v>125</v>
      </c>
      <c r="K7" s="11" t="s">
        <v>126</v>
      </c>
    </row>
    <row r="8">
      <c r="A8" s="9">
        <v>46183.545011574075</v>
      </c>
      <c r="B8" s="10">
        <v>46183.0</v>
      </c>
      <c r="C8" s="11" t="s">
        <v>130</v>
      </c>
      <c r="D8" s="11" t="s">
        <v>115</v>
      </c>
      <c r="E8" s="11" t="b">
        <v>1</v>
      </c>
      <c r="G8" s="12">
        <v>7037.0</v>
      </c>
      <c r="H8" s="11" t="s">
        <v>116</v>
      </c>
      <c r="I8" s="11" t="s">
        <v>131</v>
      </c>
      <c r="K8" s="11" t="s">
        <v>118</v>
      </c>
    </row>
    <row r="9">
      <c r="A9" s="9">
        <v>46183.5493287037</v>
      </c>
      <c r="B9" s="10">
        <v>46183.0</v>
      </c>
      <c r="C9" s="11" t="s">
        <v>132</v>
      </c>
      <c r="D9" s="11" t="s">
        <v>115</v>
      </c>
      <c r="E9" s="11" t="b">
        <v>1</v>
      </c>
      <c r="G9" s="12">
        <v>4538.0</v>
      </c>
      <c r="H9" s="11" t="s">
        <v>116</v>
      </c>
      <c r="I9" s="11" t="s">
        <v>133</v>
      </c>
      <c r="K9" s="11" t="s">
        <v>118</v>
      </c>
    </row>
    <row r="10">
      <c r="A10" s="9">
        <v>46183.54938657407</v>
      </c>
      <c r="B10" s="10">
        <v>46183.0</v>
      </c>
      <c r="C10" s="11" t="s">
        <v>132</v>
      </c>
      <c r="D10" s="11" t="s">
        <v>119</v>
      </c>
      <c r="E10" s="11" t="b">
        <v>1</v>
      </c>
      <c r="G10" s="12">
        <v>3410.0</v>
      </c>
      <c r="H10" s="11" t="s">
        <v>134</v>
      </c>
      <c r="I10" s="11" t="s">
        <v>121</v>
      </c>
      <c r="K10" s="11" t="s">
        <v>122</v>
      </c>
    </row>
    <row r="11">
      <c r="A11" s="9">
        <v>46183.54944444444</v>
      </c>
      <c r="B11" s="10">
        <v>46183.0</v>
      </c>
      <c r="C11" s="11" t="s">
        <v>132</v>
      </c>
      <c r="D11" s="11" t="s">
        <v>135</v>
      </c>
      <c r="E11" s="11" t="b">
        <v>1</v>
      </c>
      <c r="F11" s="11" t="s">
        <v>136</v>
      </c>
      <c r="G11" s="12">
        <v>6396.0</v>
      </c>
      <c r="H11" s="11" t="s">
        <v>137</v>
      </c>
      <c r="I11" s="11" t="s">
        <v>138</v>
      </c>
      <c r="K11" s="11" t="s">
        <v>126</v>
      </c>
    </row>
    <row r="12">
      <c r="A12" s="9">
        <v>46183.549525462964</v>
      </c>
      <c r="B12" s="10">
        <v>46183.0</v>
      </c>
      <c r="C12" s="11" t="s">
        <v>132</v>
      </c>
      <c r="D12" s="11" t="s">
        <v>48</v>
      </c>
      <c r="E12" s="11" t="b">
        <v>1</v>
      </c>
      <c r="F12" s="11" t="s">
        <v>139</v>
      </c>
      <c r="G12" s="12">
        <v>8929.0</v>
      </c>
      <c r="H12" s="11" t="s">
        <v>140</v>
      </c>
      <c r="I12" s="11" t="s">
        <v>141</v>
      </c>
      <c r="K12" s="11" t="s">
        <v>126</v>
      </c>
    </row>
    <row r="13">
      <c r="A13" s="9">
        <v>46183.5496412037</v>
      </c>
      <c r="B13" s="10">
        <v>46183.0</v>
      </c>
      <c r="C13" s="11" t="s">
        <v>132</v>
      </c>
      <c r="D13" s="11" t="s">
        <v>142</v>
      </c>
      <c r="E13" s="11" t="b">
        <v>1</v>
      </c>
      <c r="F13" s="11" t="s">
        <v>143</v>
      </c>
      <c r="G13" s="12">
        <v>7353.0</v>
      </c>
      <c r="H13" s="11" t="s">
        <v>144</v>
      </c>
      <c r="I13" s="11" t="s">
        <v>145</v>
      </c>
      <c r="K13" s="11" t="s">
        <v>126</v>
      </c>
    </row>
    <row r="14">
      <c r="A14" s="9">
        <v>46183.549733796295</v>
      </c>
      <c r="B14" s="10">
        <v>46183.0</v>
      </c>
      <c r="C14" s="11" t="s">
        <v>132</v>
      </c>
      <c r="D14" s="11" t="s">
        <v>146</v>
      </c>
      <c r="E14" s="11" t="b">
        <v>1</v>
      </c>
      <c r="F14" s="11" t="s">
        <v>147</v>
      </c>
      <c r="G14" s="12">
        <v>5843.0</v>
      </c>
      <c r="H14" s="11" t="s">
        <v>148</v>
      </c>
      <c r="I14" s="11" t="s">
        <v>149</v>
      </c>
      <c r="K14" s="11" t="s">
        <v>126</v>
      </c>
    </row>
    <row r="15">
      <c r="A15" s="9">
        <v>46183.54981481482</v>
      </c>
      <c r="B15" s="10">
        <v>46183.0</v>
      </c>
      <c r="C15" s="11" t="s">
        <v>132</v>
      </c>
      <c r="D15" s="11" t="s">
        <v>119</v>
      </c>
      <c r="E15" s="11" t="b">
        <v>1</v>
      </c>
      <c r="G15" s="12">
        <v>3732.0</v>
      </c>
      <c r="H15" s="11" t="s">
        <v>134</v>
      </c>
      <c r="I15" s="11" t="s">
        <v>150</v>
      </c>
      <c r="K15" s="11" t="s">
        <v>151</v>
      </c>
    </row>
    <row r="16">
      <c r="A16" s="9">
        <v>46183.54987268519</v>
      </c>
      <c r="B16" s="10">
        <v>46183.0</v>
      </c>
      <c r="C16" s="11" t="s">
        <v>132</v>
      </c>
      <c r="D16" s="11" t="s">
        <v>123</v>
      </c>
      <c r="E16" s="11" t="b">
        <v>1</v>
      </c>
      <c r="G16" s="12">
        <v>50.0</v>
      </c>
      <c r="H16" s="11" t="s">
        <v>152</v>
      </c>
      <c r="I16" s="11" t="s">
        <v>125</v>
      </c>
      <c r="K16" s="11" t="s">
        <v>126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8.0"/>
    <col customWidth="1" min="3" max="3" width="4.0"/>
    <col customWidth="1" min="4" max="4" width="20.0"/>
    <col customWidth="1" min="5" max="6" width="18.0"/>
  </cols>
  <sheetData>
    <row r="1" ht="30.0" customHeight="1">
      <c r="A1" s="1" t="s">
        <v>153</v>
      </c>
    </row>
    <row r="3">
      <c r="A3" s="14" t="s">
        <v>154</v>
      </c>
      <c r="B3" s="15"/>
      <c r="D3" s="2" t="s">
        <v>155</v>
      </c>
      <c r="E3" s="2" t="s">
        <v>156</v>
      </c>
      <c r="F3" s="2" t="s">
        <v>157</v>
      </c>
    </row>
    <row r="4">
      <c r="A4" s="14" t="s">
        <v>158</v>
      </c>
      <c r="B4" s="16" t="s">
        <v>159</v>
      </c>
      <c r="D4" s="3" t="s">
        <v>159</v>
      </c>
      <c r="E4" s="3" t="s">
        <v>160</v>
      </c>
      <c r="F4" s="3" t="s">
        <v>160</v>
      </c>
    </row>
    <row r="5">
      <c r="A5" s="14" t="s">
        <v>161</v>
      </c>
      <c r="B5" s="17">
        <v>100.0</v>
      </c>
      <c r="D5" s="3" t="s">
        <v>162</v>
      </c>
      <c r="E5" s="3" t="s">
        <v>163</v>
      </c>
      <c r="F5" s="3" t="s">
        <v>160</v>
      </c>
    </row>
    <row r="6">
      <c r="A6" s="14" t="s">
        <v>164</v>
      </c>
      <c r="B6" s="18" t="s">
        <v>66</v>
      </c>
      <c r="D6" s="3" t="s">
        <v>165</v>
      </c>
      <c r="E6" s="19" t="s">
        <v>163</v>
      </c>
      <c r="F6" s="3" t="s">
        <v>160</v>
      </c>
    </row>
    <row r="7">
      <c r="A7" s="14" t="s">
        <v>67</v>
      </c>
      <c r="B7" s="16" t="s">
        <v>166</v>
      </c>
      <c r="D7" s="3" t="s">
        <v>167</v>
      </c>
      <c r="E7" s="3" t="s">
        <v>163</v>
      </c>
      <c r="F7" s="3" t="s">
        <v>160</v>
      </c>
    </row>
    <row r="8">
      <c r="A8" s="14" t="s">
        <v>71</v>
      </c>
      <c r="B8" s="18"/>
      <c r="D8" s="3" t="s">
        <v>168</v>
      </c>
      <c r="E8" s="3" t="s">
        <v>163</v>
      </c>
      <c r="F8" s="3" t="s">
        <v>160</v>
      </c>
    </row>
    <row r="9">
      <c r="A9" s="14"/>
      <c r="B9" s="20"/>
      <c r="D9" s="3" t="s">
        <v>135</v>
      </c>
      <c r="E9" s="3" t="s">
        <v>160</v>
      </c>
      <c r="F9" s="3" t="s">
        <v>163</v>
      </c>
    </row>
    <row r="10">
      <c r="A10" s="14" t="s">
        <v>169</v>
      </c>
      <c r="B10" s="21" t="s">
        <v>170</v>
      </c>
      <c r="D10" s="3" t="s">
        <v>171</v>
      </c>
      <c r="E10" s="3" t="s">
        <v>172</v>
      </c>
      <c r="F10" s="3" t="s">
        <v>160</v>
      </c>
    </row>
    <row r="12">
      <c r="A12" s="4" t="s">
        <v>173</v>
      </c>
    </row>
    <row r="13">
      <c r="A13" s="3" t="s">
        <v>4</v>
      </c>
      <c r="B13" s="3" t="s">
        <v>174</v>
      </c>
      <c r="C13" s="3" t="s">
        <v>175</v>
      </c>
    </row>
    <row r="14">
      <c r="A14" s="3" t="s">
        <v>7</v>
      </c>
      <c r="B14" s="3" t="s">
        <v>176</v>
      </c>
      <c r="C14" s="3" t="s">
        <v>177</v>
      </c>
    </row>
    <row r="15">
      <c r="A15" s="3" t="s">
        <v>10</v>
      </c>
      <c r="B15" s="3" t="s">
        <v>178</v>
      </c>
      <c r="C15" s="3" t="s">
        <v>179</v>
      </c>
    </row>
    <row r="16">
      <c r="A16" s="3" t="s">
        <v>13</v>
      </c>
      <c r="B16" s="3" t="s">
        <v>180</v>
      </c>
      <c r="C16" s="3" t="s">
        <v>181</v>
      </c>
    </row>
    <row r="17">
      <c r="A17" s="3" t="s">
        <v>16</v>
      </c>
      <c r="B17" s="3" t="s">
        <v>182</v>
      </c>
      <c r="C17" s="3" t="s">
        <v>183</v>
      </c>
    </row>
    <row r="18">
      <c r="A18" s="3" t="s">
        <v>19</v>
      </c>
      <c r="B18" s="3" t="s">
        <v>184</v>
      </c>
      <c r="C18" s="3" t="s">
        <v>185</v>
      </c>
    </row>
  </sheetData>
  <mergeCells count="8">
    <mergeCell ref="A1:F1"/>
    <mergeCell ref="A12:F12"/>
    <mergeCell ref="C13:F13"/>
    <mergeCell ref="C14:F14"/>
    <mergeCell ref="C15:F15"/>
    <mergeCell ref="C16:F16"/>
    <mergeCell ref="C17:F17"/>
    <mergeCell ref="C18:F18"/>
  </mergeCells>
  <dataValidations>
    <dataValidation type="list" allowBlank="1" sqref="B4">
      <formula1>"ATTENDANCE,DEPOSIT,WITHDRAW,REWARD,FINE,STORE_PURCHASE"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3" width="45.13"/>
    <col customWidth="1" min="4" max="4" width="18.25"/>
    <col customWidth="1" min="5" max="5" width="4.0"/>
    <col customWidth="1" min="6" max="6" width="22.0"/>
    <col customWidth="1" min="7" max="7" width="16.0"/>
    <col customWidth="1" min="8" max="8" width="34.0"/>
  </cols>
  <sheetData>
    <row r="1" ht="30.0" customHeight="1">
      <c r="A1" s="22" t="s">
        <v>186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23" t="s">
        <v>187</v>
      </c>
      <c r="C3" s="23" t="s">
        <v>188</v>
      </c>
      <c r="E3" s="23" t="s">
        <v>189</v>
      </c>
      <c r="G3" s="23" t="s">
        <v>190</v>
      </c>
    </row>
    <row r="4">
      <c r="A4" s="24">
        <f>SUM(Students!$E$4:E21)</f>
        <v>34001.82</v>
      </c>
      <c r="C4" s="24">
        <f>COUNTIFS(Students!$G$4:G21,"Yes",Students!$A$4:A21,"&lt;&gt;")</f>
        <v>18</v>
      </c>
      <c r="E4" s="24">
        <f>COUNTIFS(Daily_Attendance!$A$4:A32,TEXT(TODAY(),"yyyy-mm-dd"))</f>
        <v>0</v>
      </c>
      <c r="G4" s="24">
        <f>COUNTIFS(Daily_Attendance!$A$4:A32,TEXT(TODAY(),"yyyy-mm-dd"),Daily_Attendance!$G$4:G32,"Late")</f>
        <v>0</v>
      </c>
    </row>
    <row r="5">
      <c r="A5" s="5"/>
      <c r="B5" s="5"/>
      <c r="C5" s="5"/>
      <c r="D5" s="5"/>
      <c r="E5" s="5"/>
      <c r="F5" s="5"/>
      <c r="G5" s="5"/>
      <c r="H5" s="5"/>
    </row>
    <row r="6">
      <c r="A6" s="25" t="s">
        <v>191</v>
      </c>
      <c r="E6" s="5"/>
      <c r="F6" s="25" t="s">
        <v>192</v>
      </c>
    </row>
    <row r="7">
      <c r="A7" s="2" t="s">
        <v>193</v>
      </c>
      <c r="B7" s="2" t="s">
        <v>194</v>
      </c>
      <c r="C7" s="2" t="s">
        <v>195</v>
      </c>
      <c r="D7" s="2" t="s">
        <v>113</v>
      </c>
      <c r="E7" s="5"/>
      <c r="F7" s="2" t="s">
        <v>193</v>
      </c>
      <c r="G7" s="2" t="s">
        <v>194</v>
      </c>
      <c r="H7" s="2" t="s">
        <v>113</v>
      </c>
    </row>
    <row r="8">
      <c r="A8" s="5" t="s">
        <v>196</v>
      </c>
      <c r="B8" s="26">
        <f t="array" ref="B8">SUM(SUMIFS(Transactions!$F$4:F27,Transactions!$E$4:E27,{"DEPOSIT","REWARD","PAYROLL","ATTENDANCE_BONUS"},Transactions!$L$4:L27,"Success"))</f>
        <v>191</v>
      </c>
      <c r="C8" s="27" t="s">
        <v>197</v>
      </c>
      <c r="D8" s="28" t="s">
        <v>198</v>
      </c>
      <c r="E8" s="5"/>
      <c r="F8" s="5" t="s">
        <v>199</v>
      </c>
      <c r="G8" s="29">
        <f>COUNTIFS(
Daily_Attendance!$A$4:A20,TODAY(),
Daily_Attendance!$G$4:G20,"Present"
)</f>
        <v>0</v>
      </c>
      <c r="H8" s="5" t="s">
        <v>200</v>
      </c>
    </row>
    <row r="9">
      <c r="A9" s="5" t="s">
        <v>201</v>
      </c>
      <c r="B9" s="26">
        <f t="array" ref="B9">SUM(SUMIFS(Transactions!$F$4:F27,Transactions!$E$4:E27,{"WITHDRAW","FINE","STORE_PURCHASE"},Transactions!$L$4:L27,"Success"))</f>
        <v>0</v>
      </c>
      <c r="C9" s="27" t="s">
        <v>202</v>
      </c>
      <c r="D9" s="28" t="s">
        <v>203</v>
      </c>
      <c r="E9" s="5"/>
      <c r="F9" s="5" t="s">
        <v>204</v>
      </c>
      <c r="G9" s="29">
        <f>COUNTIFS(
Daily_Attendance!$A$4:A20,TODAY(),
Daily_Attendance!$G$4:G20,"Late"
)</f>
        <v>0</v>
      </c>
      <c r="H9" s="5" t="s">
        <v>205</v>
      </c>
    </row>
    <row r="10">
      <c r="A10" s="5" t="s">
        <v>206</v>
      </c>
      <c r="B10" s="29">
        <f>COUNTIFS(Transactions!$E$4:E27,"STORE_PURCHASE",Transactions!$L$4:L27,"Success")</f>
        <v>0</v>
      </c>
      <c r="C10" s="5" t="s">
        <v>207</v>
      </c>
      <c r="D10" s="5"/>
      <c r="E10" s="5"/>
      <c r="F10" s="5" t="s">
        <v>208</v>
      </c>
      <c r="G10" s="29">
        <f>COUNTIF(Students!$G$4:G20,"Yes")-
COUNTIFS(Daily_Attendance!$A$4:A20,TODAY(),Daily_Attendance!$G$4:G20,"Present")-
COUNTIFS(Daily_Attendance!$A$4:A20,TODAY(),Daily_Attendance!$G$4:G20,"Late")</f>
        <v>76</v>
      </c>
      <c r="H10" s="5" t="s">
        <v>209</v>
      </c>
    </row>
    <row r="11">
      <c r="A11" s="5" t="s">
        <v>210</v>
      </c>
      <c r="B11" s="26">
        <f>COUNTIFS(Transactions!$E$4:E27,"REWARD",Transactions!$L$4:L27,"Success")</f>
        <v>15</v>
      </c>
      <c r="C11" s="5" t="s">
        <v>211</v>
      </c>
      <c r="D11" s="5"/>
      <c r="E11" s="5"/>
      <c r="F11" s="5" t="s">
        <v>212</v>
      </c>
      <c r="G11" s="30">
        <f>IFERROR(COUNTIFS(Daily_Attendance!$A$4:A20,TEXT(TODAY(),"yyyy-mm-dd"))/COUNTIFS(Students!$G$4:G20,"Yes",Students!$A$4:A20,"&lt;&gt;"),0)</f>
        <v>0</v>
      </c>
      <c r="H11" s="5" t="s">
        <v>213</v>
      </c>
    </row>
    <row r="12">
      <c r="A12" s="5" t="s">
        <v>214</v>
      </c>
      <c r="B12" s="26">
        <f>COUNTIFS(Transactions!$E$4:E27,"FINE",Transactions!$L$4:L27,"Success")</f>
        <v>0</v>
      </c>
      <c r="C12" s="5" t="s">
        <v>215</v>
      </c>
      <c r="D12" s="5"/>
      <c r="E12" s="5"/>
      <c r="F12" s="5" t="s">
        <v>216</v>
      </c>
      <c r="G12" s="29">
        <f>COUNTA(Daily_Attendance!$A$4:A32)</f>
        <v>29</v>
      </c>
      <c r="H12" s="5" t="s">
        <v>217</v>
      </c>
    </row>
    <row r="13">
      <c r="A13" s="5" t="s">
        <v>218</v>
      </c>
      <c r="B13" s="29">
        <f>COUNTIFS(Transactions!$L$4:L27,"&lt;&gt;Success",Transactions!$L$4:L27,"&lt;&gt;")</f>
        <v>2</v>
      </c>
      <c r="C13" s="5" t="s">
        <v>219</v>
      </c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25" t="s">
        <v>220</v>
      </c>
      <c r="E15" s="5"/>
      <c r="F15" s="25" t="s">
        <v>221</v>
      </c>
    </row>
    <row r="16">
      <c r="A16" s="2" t="s">
        <v>222</v>
      </c>
      <c r="B16" s="2" t="s">
        <v>223</v>
      </c>
      <c r="C16" s="5"/>
      <c r="D16" s="5"/>
      <c r="E16" s="5"/>
      <c r="F16" s="2" t="s">
        <v>1</v>
      </c>
      <c r="G16" s="2" t="s">
        <v>224</v>
      </c>
      <c r="H16" s="2" t="s">
        <v>225</v>
      </c>
    </row>
    <row r="17">
      <c r="A17" s="5" t="str">
        <f>IFERROR(__xludf.DUMMYFUNCTION("IFNA(SORTN(FILTER({Students!$B$4:$B$21,Students!$E$4:$E$21},Students!$B$4:$B$21&lt;&gt;"""",Students!$E$4:$E$21&lt;&gt;""""),4,0,2,FALSE),"""")"),"Hannah")</f>
        <v>Hannah</v>
      </c>
      <c r="B17" s="31">
        <f>IFERROR(__xludf.DUMMYFUNCTION("""COMPUTED_VALUE"""),10028.2)</f>
        <v>10028.2</v>
      </c>
      <c r="C17" s="5"/>
      <c r="D17" s="5"/>
      <c r="E17" s="5"/>
      <c r="F17" s="5" t="s">
        <v>4</v>
      </c>
      <c r="G17" s="5" t="s">
        <v>226</v>
      </c>
      <c r="H17" s="5" t="s">
        <v>227</v>
      </c>
    </row>
    <row r="18">
      <c r="A18" s="5" t="str">
        <f>IFERROR(__xludf.DUMMYFUNCTION("""COMPUTED_VALUE"""),"Ellie")</f>
        <v>Ellie</v>
      </c>
      <c r="B18" s="31">
        <f>IFERROR(__xludf.DUMMYFUNCTION("""COMPUTED_VALUE"""),8764.1)</f>
        <v>8764.1</v>
      </c>
      <c r="C18" s="5"/>
      <c r="D18" s="5"/>
      <c r="E18" s="5"/>
      <c r="F18" s="5" t="s">
        <v>7</v>
      </c>
      <c r="G18" s="5" t="s">
        <v>228</v>
      </c>
      <c r="H18" s="5" t="s">
        <v>229</v>
      </c>
    </row>
    <row r="19">
      <c r="A19" s="5" t="str">
        <f>IFERROR(__xludf.DUMMYFUNCTION("""COMPUTED_VALUE"""),"DK")</f>
        <v>DK</v>
      </c>
      <c r="B19" s="31">
        <f>IFERROR(__xludf.DUMMYFUNCTION("""COMPUTED_VALUE"""),8404.61)</f>
        <v>8404.61</v>
      </c>
      <c r="C19" s="5"/>
      <c r="D19" s="5"/>
      <c r="E19" s="5"/>
      <c r="F19" s="5" t="s">
        <v>10</v>
      </c>
      <c r="G19" s="5" t="s">
        <v>230</v>
      </c>
      <c r="H19" s="5" t="s">
        <v>231</v>
      </c>
    </row>
    <row r="20">
      <c r="A20" s="5" t="str">
        <f>IFERROR(__xludf.DUMMYFUNCTION("""COMPUTED_VALUE"""),"Ruby")</f>
        <v>Ruby</v>
      </c>
      <c r="B20" s="31">
        <f>IFERROR(__xludf.DUMMYFUNCTION("""COMPUTED_VALUE"""),1827.26)</f>
        <v>1827.26</v>
      </c>
      <c r="C20" s="5"/>
      <c r="D20" s="5"/>
      <c r="E20" s="5"/>
      <c r="F20" s="5" t="s">
        <v>13</v>
      </c>
      <c r="G20" s="5" t="s">
        <v>232</v>
      </c>
      <c r="H20" s="5" t="s">
        <v>233</v>
      </c>
    </row>
  </sheetData>
  <mergeCells count="13">
    <mergeCell ref="E4:F4"/>
    <mergeCell ref="G4:H4"/>
    <mergeCell ref="A6:D6"/>
    <mergeCell ref="F6:H6"/>
    <mergeCell ref="A15:D15"/>
    <mergeCell ref="F15:H15"/>
    <mergeCell ref="A1:H1"/>
    <mergeCell ref="A3:B3"/>
    <mergeCell ref="C3:D3"/>
    <mergeCell ref="E3:F3"/>
    <mergeCell ref="G3:H3"/>
    <mergeCell ref="A4:B4"/>
    <mergeCell ref="C4:D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0"/>
    <col customWidth="1" min="3" max="3" width="10.0"/>
    <col customWidth="1" min="4" max="4" width="14.0"/>
    <col customWidth="1" min="5" max="5" width="12.0"/>
    <col customWidth="1" min="6" max="6" width="22.0"/>
    <col customWidth="1" min="7" max="7" width="10.0"/>
    <col customWidth="1" min="8" max="8" width="20.0"/>
    <col customWidth="1" min="9" max="9" width="18.0"/>
    <col customWidth="1" min="10" max="10" width="20.0"/>
    <col customWidth="1" min="11" max="11" width="38.0"/>
  </cols>
  <sheetData>
    <row r="1" ht="30.0" customHeight="1">
      <c r="A1" s="1" t="s">
        <v>234</v>
      </c>
    </row>
    <row r="2">
      <c r="E2" s="32"/>
    </row>
    <row r="3">
      <c r="A3" s="33" t="s">
        <v>63</v>
      </c>
      <c r="B3" s="33" t="s">
        <v>64</v>
      </c>
      <c r="C3" s="33" t="s">
        <v>65</v>
      </c>
      <c r="D3" s="33" t="s">
        <v>66</v>
      </c>
      <c r="E3" s="34" t="s">
        <v>223</v>
      </c>
      <c r="F3" s="33" t="s">
        <v>235</v>
      </c>
      <c r="G3" s="33" t="s">
        <v>236</v>
      </c>
      <c r="H3" s="33" t="s">
        <v>237</v>
      </c>
      <c r="I3" s="33" t="s">
        <v>238</v>
      </c>
      <c r="J3" s="33" t="s">
        <v>239</v>
      </c>
      <c r="K3" s="33" t="s">
        <v>113</v>
      </c>
    </row>
    <row r="4">
      <c r="A4" s="35" t="s">
        <v>240</v>
      </c>
      <c r="B4" s="35" t="s">
        <v>241</v>
      </c>
      <c r="C4" s="36">
        <v>10.0</v>
      </c>
      <c r="D4" s="35" t="s">
        <v>94</v>
      </c>
      <c r="E4" s="37">
        <v>341.98</v>
      </c>
      <c r="F4" s="35" t="s">
        <v>242</v>
      </c>
      <c r="G4" s="35" t="s">
        <v>163</v>
      </c>
      <c r="H4" s="38">
        <v>46184.3566087963</v>
      </c>
      <c r="I4" s="39">
        <v>4.0</v>
      </c>
      <c r="J4" s="40">
        <v>46184.0</v>
      </c>
      <c r="K4" s="41"/>
    </row>
    <row r="5">
      <c r="A5" s="35" t="s">
        <v>243</v>
      </c>
      <c r="B5" s="35" t="s">
        <v>244</v>
      </c>
      <c r="C5" s="36">
        <v>10.0</v>
      </c>
      <c r="D5" s="35" t="s">
        <v>94</v>
      </c>
      <c r="E5" s="37">
        <v>234.86</v>
      </c>
      <c r="F5" s="35" t="s">
        <v>242</v>
      </c>
      <c r="G5" s="35" t="s">
        <v>163</v>
      </c>
      <c r="H5" s="38">
        <v>46185.35445601852</v>
      </c>
      <c r="I5" s="39">
        <v>5.0</v>
      </c>
      <c r="J5" s="40">
        <v>46185.0</v>
      </c>
      <c r="K5" s="41"/>
    </row>
    <row r="6">
      <c r="A6" s="35" t="s">
        <v>103</v>
      </c>
      <c r="B6" s="35" t="s">
        <v>104</v>
      </c>
      <c r="C6" s="36">
        <v>10.0</v>
      </c>
      <c r="D6" s="35" t="s">
        <v>94</v>
      </c>
      <c r="E6" s="37">
        <v>198.0</v>
      </c>
      <c r="F6" s="35" t="s">
        <v>242</v>
      </c>
      <c r="G6" s="35" t="s">
        <v>163</v>
      </c>
      <c r="H6" s="38">
        <v>46184.60606481481</v>
      </c>
      <c r="I6" s="39">
        <v>1.0</v>
      </c>
      <c r="J6" s="40">
        <v>46184.0</v>
      </c>
      <c r="K6" s="41"/>
    </row>
    <row r="7">
      <c r="A7" s="35" t="s">
        <v>92</v>
      </c>
      <c r="B7" s="35" t="s">
        <v>93</v>
      </c>
      <c r="C7" s="36">
        <v>10.0</v>
      </c>
      <c r="D7" s="35" t="s">
        <v>94</v>
      </c>
      <c r="E7" s="37">
        <v>49.83</v>
      </c>
      <c r="F7" s="35" t="s">
        <v>242</v>
      </c>
      <c r="G7" s="35" t="s">
        <v>163</v>
      </c>
      <c r="H7" s="38">
        <v>46185.35123842592</v>
      </c>
      <c r="I7" s="39">
        <v>4.0</v>
      </c>
      <c r="J7" s="40">
        <v>46185.0</v>
      </c>
      <c r="K7" s="41"/>
    </row>
    <row r="8">
      <c r="A8" s="35" t="s">
        <v>245</v>
      </c>
      <c r="B8" s="35" t="s">
        <v>246</v>
      </c>
      <c r="C8" s="36">
        <v>10.0</v>
      </c>
      <c r="D8" s="35" t="s">
        <v>94</v>
      </c>
      <c r="E8" s="37">
        <v>4.19</v>
      </c>
      <c r="F8" s="35" t="s">
        <v>242</v>
      </c>
      <c r="G8" s="35" t="s">
        <v>163</v>
      </c>
      <c r="H8" s="38">
        <v>46184.50125</v>
      </c>
      <c r="I8" s="39">
        <v>0.0</v>
      </c>
      <c r="J8" s="40">
        <v>46181.0</v>
      </c>
      <c r="K8" s="41"/>
    </row>
    <row r="9">
      <c r="A9" s="35" t="s">
        <v>247</v>
      </c>
      <c r="B9" s="35" t="s">
        <v>248</v>
      </c>
      <c r="C9" s="36">
        <v>10.0</v>
      </c>
      <c r="D9" s="35" t="s">
        <v>94</v>
      </c>
      <c r="E9" s="37">
        <v>483.88</v>
      </c>
      <c r="F9" s="35" t="s">
        <v>242</v>
      </c>
      <c r="G9" s="35" t="s">
        <v>163</v>
      </c>
      <c r="H9" s="38">
        <v>46185.34641203703</v>
      </c>
      <c r="I9" s="39">
        <v>5.0</v>
      </c>
      <c r="J9" s="40">
        <v>46185.0</v>
      </c>
      <c r="K9" s="41"/>
    </row>
    <row r="10">
      <c r="A10" s="35" t="s">
        <v>97</v>
      </c>
      <c r="B10" s="35" t="s">
        <v>98</v>
      </c>
      <c r="C10" s="36">
        <v>10.0</v>
      </c>
      <c r="D10" s="35" t="s">
        <v>94</v>
      </c>
      <c r="E10" s="37">
        <v>430.0</v>
      </c>
      <c r="F10" s="35" t="s">
        <v>242</v>
      </c>
      <c r="G10" s="35" t="s">
        <v>163</v>
      </c>
      <c r="H10" s="38">
        <v>46185.346180555556</v>
      </c>
      <c r="I10" s="39">
        <v>5.0</v>
      </c>
      <c r="J10" s="40">
        <v>46185.0</v>
      </c>
      <c r="K10" s="41"/>
    </row>
    <row r="11">
      <c r="A11" s="35" t="s">
        <v>249</v>
      </c>
      <c r="B11" s="35" t="s">
        <v>250</v>
      </c>
      <c r="C11" s="36">
        <v>10.0</v>
      </c>
      <c r="D11" s="35" t="s">
        <v>94</v>
      </c>
      <c r="E11" s="37">
        <v>616.0</v>
      </c>
      <c r="F11" s="35" t="s">
        <v>242</v>
      </c>
      <c r="G11" s="35" t="s">
        <v>163</v>
      </c>
      <c r="H11" s="38">
        <v>46184.35596064815</v>
      </c>
      <c r="I11" s="39">
        <v>1.0</v>
      </c>
      <c r="J11" s="40">
        <v>46184.0</v>
      </c>
      <c r="K11" s="41"/>
    </row>
    <row r="12">
      <c r="A12" s="35" t="s">
        <v>251</v>
      </c>
      <c r="B12" s="35" t="s">
        <v>252</v>
      </c>
      <c r="C12" s="36">
        <v>10.0</v>
      </c>
      <c r="D12" s="35" t="s">
        <v>94</v>
      </c>
      <c r="E12" s="37">
        <v>353.79</v>
      </c>
      <c r="F12" s="35" t="s">
        <v>242</v>
      </c>
      <c r="G12" s="35" t="s">
        <v>163</v>
      </c>
      <c r="H12" s="38">
        <v>46184.351122685184</v>
      </c>
      <c r="I12" s="39">
        <v>4.0</v>
      </c>
      <c r="J12" s="40">
        <v>46184.0</v>
      </c>
      <c r="K12" s="41"/>
    </row>
    <row r="13">
      <c r="A13" s="35" t="s">
        <v>253</v>
      </c>
      <c r="B13" s="35" t="s">
        <v>254</v>
      </c>
      <c r="C13" s="36">
        <v>10.0</v>
      </c>
      <c r="D13" s="35" t="s">
        <v>94</v>
      </c>
      <c r="E13" s="37">
        <v>27.98</v>
      </c>
      <c r="F13" s="35" t="s">
        <v>242</v>
      </c>
      <c r="G13" s="35" t="s">
        <v>163</v>
      </c>
      <c r="H13" s="38">
        <v>46185.64902777778</v>
      </c>
      <c r="I13" s="39">
        <v>5.0</v>
      </c>
      <c r="J13" s="40">
        <v>46185.0</v>
      </c>
      <c r="K13" s="41"/>
    </row>
    <row r="14">
      <c r="A14" s="35" t="s">
        <v>255</v>
      </c>
      <c r="B14" s="35" t="s">
        <v>256</v>
      </c>
      <c r="C14" s="36">
        <v>10.0</v>
      </c>
      <c r="D14" s="35" t="s">
        <v>94</v>
      </c>
      <c r="E14" s="37">
        <v>46.86</v>
      </c>
      <c r="F14" s="35" t="s">
        <v>242</v>
      </c>
      <c r="G14" s="35" t="s">
        <v>163</v>
      </c>
      <c r="H14" s="38">
        <v>46184.467881944445</v>
      </c>
      <c r="I14" s="39">
        <v>0.0</v>
      </c>
      <c r="J14" s="40">
        <v>46183.0</v>
      </c>
      <c r="K14" s="41"/>
    </row>
    <row r="15">
      <c r="A15" s="35">
        <v>1321.0</v>
      </c>
      <c r="B15" s="35" t="s">
        <v>257</v>
      </c>
      <c r="C15" s="35">
        <v>7.0</v>
      </c>
      <c r="D15" s="35" t="s">
        <v>94</v>
      </c>
      <c r="E15" s="37">
        <v>743.61</v>
      </c>
      <c r="F15" s="35" t="s">
        <v>242</v>
      </c>
      <c r="G15" s="35" t="s">
        <v>163</v>
      </c>
      <c r="H15" s="42">
        <v>46186.43682870371</v>
      </c>
      <c r="I15" s="43"/>
      <c r="J15" s="44"/>
      <c r="K15" s="41"/>
    </row>
    <row r="16">
      <c r="A16" s="35">
        <v>4673.0</v>
      </c>
      <c r="B16" s="35" t="s">
        <v>258</v>
      </c>
      <c r="C16" s="35">
        <v>7.0</v>
      </c>
      <c r="D16" s="35" t="s">
        <v>259</v>
      </c>
      <c r="E16" s="37">
        <v>8764.1</v>
      </c>
      <c r="F16" s="35" t="s">
        <v>242</v>
      </c>
      <c r="G16" s="35" t="s">
        <v>163</v>
      </c>
      <c r="H16" s="42">
        <v>46185.53475694444</v>
      </c>
      <c r="I16" s="43"/>
      <c r="J16" s="44"/>
      <c r="K16" s="41"/>
    </row>
    <row r="17">
      <c r="A17" s="35">
        <v>2217.0</v>
      </c>
      <c r="B17" s="35" t="s">
        <v>260</v>
      </c>
      <c r="C17" s="35">
        <v>7.0</v>
      </c>
      <c r="D17" s="35" t="s">
        <v>261</v>
      </c>
      <c r="E17" s="37">
        <v>8404.61</v>
      </c>
      <c r="F17" s="35" t="s">
        <v>242</v>
      </c>
      <c r="G17" s="35" t="s">
        <v>163</v>
      </c>
      <c r="H17" s="42">
        <v>46185.67994212963</v>
      </c>
      <c r="I17" s="43"/>
      <c r="J17" s="44"/>
      <c r="K17" s="41"/>
    </row>
    <row r="18" ht="15.75" customHeight="1">
      <c r="A18" s="35">
        <v>1978.0</v>
      </c>
      <c r="B18" s="35" t="s">
        <v>262</v>
      </c>
      <c r="C18" s="35">
        <v>7.0</v>
      </c>
      <c r="D18" s="35" t="s">
        <v>263</v>
      </c>
      <c r="E18" s="37">
        <v>10028.2</v>
      </c>
      <c r="F18" s="35" t="s">
        <v>242</v>
      </c>
      <c r="G18" s="35" t="s">
        <v>163</v>
      </c>
      <c r="H18" s="42">
        <v>46178.54225694444</v>
      </c>
      <c r="I18" s="43"/>
      <c r="J18" s="44"/>
      <c r="K18" s="41"/>
    </row>
    <row r="19" ht="15.75" customHeight="1">
      <c r="A19" s="35">
        <v>1876.0</v>
      </c>
      <c r="B19" s="35" t="s">
        <v>264</v>
      </c>
      <c r="C19" s="35">
        <v>7.0</v>
      </c>
      <c r="D19" s="35" t="s">
        <v>265</v>
      </c>
      <c r="E19" s="37">
        <v>311.09</v>
      </c>
      <c r="F19" s="35" t="s">
        <v>242</v>
      </c>
      <c r="G19" s="35" t="s">
        <v>163</v>
      </c>
      <c r="H19" s="42">
        <v>46185.57885416667</v>
      </c>
      <c r="I19" s="43"/>
      <c r="J19" s="44"/>
      <c r="K19" s="41"/>
    </row>
    <row r="20" ht="15.75" customHeight="1">
      <c r="A20" s="35">
        <v>8765.0</v>
      </c>
      <c r="B20" s="35" t="s">
        <v>266</v>
      </c>
      <c r="C20" s="35">
        <v>7.0</v>
      </c>
      <c r="D20" s="35" t="s">
        <v>267</v>
      </c>
      <c r="E20" s="37">
        <v>1135.58</v>
      </c>
      <c r="F20" s="35" t="s">
        <v>242</v>
      </c>
      <c r="G20" s="35" t="s">
        <v>163</v>
      </c>
      <c r="H20" s="42">
        <v>46187.40190972222</v>
      </c>
      <c r="I20" s="43"/>
      <c r="J20" s="44"/>
      <c r="K20" s="41"/>
    </row>
    <row r="21" ht="15.75" customHeight="1">
      <c r="A21" s="35">
        <v>9887.0</v>
      </c>
      <c r="B21" s="35" t="s">
        <v>268</v>
      </c>
      <c r="C21" s="35">
        <v>7.0</v>
      </c>
      <c r="D21" s="35" t="s">
        <v>269</v>
      </c>
      <c r="E21" s="37">
        <v>1827.26</v>
      </c>
      <c r="F21" s="35" t="s">
        <v>242</v>
      </c>
      <c r="G21" s="35" t="s">
        <v>163</v>
      </c>
      <c r="H21" s="42">
        <v>46185.523518518516</v>
      </c>
      <c r="I21" s="43"/>
      <c r="J21" s="44"/>
      <c r="K21" s="41"/>
    </row>
    <row r="22" ht="15.75" customHeight="1">
      <c r="A22" s="35">
        <v>7765.0</v>
      </c>
      <c r="B22" s="35" t="s">
        <v>270</v>
      </c>
      <c r="C22" s="35">
        <v>7.0</v>
      </c>
      <c r="D22" s="35" t="s">
        <v>271</v>
      </c>
      <c r="E22" s="37">
        <v>5263.92</v>
      </c>
      <c r="F22" s="35" t="s">
        <v>242</v>
      </c>
      <c r="G22" s="35" t="s">
        <v>163</v>
      </c>
      <c r="H22" s="42">
        <v>46185.44773148148</v>
      </c>
      <c r="I22" s="43"/>
      <c r="J22" s="44"/>
      <c r="K22" s="41"/>
    </row>
    <row r="23" ht="15.75" customHeight="1">
      <c r="A23" s="35">
        <v>6665.0</v>
      </c>
      <c r="B23" s="35" t="s">
        <v>272</v>
      </c>
      <c r="C23" s="35">
        <v>7.0</v>
      </c>
      <c r="D23" s="35" t="s">
        <v>273</v>
      </c>
      <c r="E23" s="37">
        <v>1553.49</v>
      </c>
      <c r="F23" s="35" t="s">
        <v>242</v>
      </c>
      <c r="G23" s="35" t="s">
        <v>163</v>
      </c>
      <c r="H23" s="42">
        <v>46185.53681712963</v>
      </c>
      <c r="I23" s="43"/>
      <c r="J23" s="44"/>
      <c r="K23" s="41"/>
    </row>
    <row r="24" ht="15.75" customHeight="1">
      <c r="A24" s="35">
        <v>8989.0</v>
      </c>
      <c r="B24" s="35" t="s">
        <v>274</v>
      </c>
      <c r="C24" s="35">
        <v>7.0</v>
      </c>
      <c r="D24" s="35" t="s">
        <v>80</v>
      </c>
      <c r="E24" s="37">
        <v>7002.67</v>
      </c>
      <c r="F24" s="35" t="s">
        <v>242</v>
      </c>
      <c r="G24" s="35" t="s">
        <v>163</v>
      </c>
      <c r="H24" s="42">
        <v>46185.5353125</v>
      </c>
      <c r="I24" s="43"/>
      <c r="J24" s="44"/>
      <c r="K24" s="41"/>
    </row>
    <row r="25" ht="15.75" customHeight="1">
      <c r="A25" s="35">
        <v>1234.0</v>
      </c>
      <c r="B25" s="35" t="s">
        <v>72</v>
      </c>
      <c r="C25" s="35">
        <v>11.0</v>
      </c>
      <c r="D25" s="41"/>
      <c r="E25" s="37">
        <v>95.34</v>
      </c>
      <c r="F25" s="35" t="s">
        <v>242</v>
      </c>
      <c r="G25" s="35" t="s">
        <v>163</v>
      </c>
      <c r="H25" s="42">
        <v>46186.699421296296</v>
      </c>
      <c r="I25" s="43"/>
      <c r="J25" s="44"/>
      <c r="K25" s="41"/>
    </row>
    <row r="26" ht="15.75" customHeight="1">
      <c r="A26" s="35">
        <v>8244.0</v>
      </c>
      <c r="B26" s="41" t="s">
        <v>275</v>
      </c>
      <c r="C26" s="35">
        <v>11.0</v>
      </c>
      <c r="D26" s="35" t="s">
        <v>259</v>
      </c>
      <c r="E26" s="37">
        <v>1000.0</v>
      </c>
      <c r="F26" s="35" t="s">
        <v>242</v>
      </c>
      <c r="G26" s="35" t="s">
        <v>163</v>
      </c>
      <c r="H26" s="45"/>
      <c r="I26" s="43"/>
      <c r="J26" s="44"/>
      <c r="K26" s="41"/>
    </row>
    <row r="27" ht="15.75" customHeight="1">
      <c r="A27" s="35">
        <v>3846.0</v>
      </c>
      <c r="B27" s="35" t="s">
        <v>276</v>
      </c>
      <c r="C27" s="35">
        <v>11.0</v>
      </c>
      <c r="D27" s="35" t="s">
        <v>261</v>
      </c>
      <c r="E27" s="37">
        <v>1893.12</v>
      </c>
      <c r="F27" s="35" t="s">
        <v>242</v>
      </c>
      <c r="G27" s="35" t="s">
        <v>163</v>
      </c>
      <c r="H27" s="42">
        <v>46184.38476851852</v>
      </c>
      <c r="I27" s="43"/>
      <c r="J27" s="44"/>
      <c r="K27" s="41"/>
    </row>
    <row r="28" ht="15.75" customHeight="1">
      <c r="A28" s="35">
        <v>2659.0</v>
      </c>
      <c r="B28" s="35" t="s">
        <v>277</v>
      </c>
      <c r="C28" s="35">
        <v>11.0</v>
      </c>
      <c r="D28" s="35" t="s">
        <v>263</v>
      </c>
      <c r="E28" s="37">
        <v>3.56</v>
      </c>
      <c r="F28" s="35" t="s">
        <v>242</v>
      </c>
      <c r="G28" s="35" t="s">
        <v>163</v>
      </c>
      <c r="H28" s="42">
        <v>46183.57168981482</v>
      </c>
      <c r="I28" s="43"/>
      <c r="J28" s="44"/>
      <c r="K28" s="41"/>
    </row>
    <row r="29" ht="15.75" customHeight="1">
      <c r="A29" s="35">
        <v>7302.0</v>
      </c>
      <c r="B29" s="35" t="s">
        <v>278</v>
      </c>
      <c r="C29" s="35">
        <v>11.0</v>
      </c>
      <c r="D29" s="35" t="s">
        <v>265</v>
      </c>
      <c r="E29" s="37">
        <v>43.05</v>
      </c>
      <c r="F29" s="35" t="s">
        <v>242</v>
      </c>
      <c r="G29" s="35" t="s">
        <v>163</v>
      </c>
      <c r="H29" s="42">
        <v>46183.57829861111</v>
      </c>
      <c r="I29" s="43"/>
      <c r="J29" s="44"/>
      <c r="K29" s="41"/>
    </row>
    <row r="30" ht="15.75" customHeight="1">
      <c r="A30" s="35">
        <v>5420.0</v>
      </c>
      <c r="B30" s="35" t="s">
        <v>279</v>
      </c>
      <c r="C30" s="35">
        <v>11.0</v>
      </c>
      <c r="D30" s="35" t="s">
        <v>267</v>
      </c>
      <c r="E30" s="37">
        <v>5.81</v>
      </c>
      <c r="F30" s="35" t="s">
        <v>242</v>
      </c>
      <c r="G30" s="35" t="s">
        <v>163</v>
      </c>
      <c r="H30" s="42">
        <v>46185.623460648145</v>
      </c>
      <c r="I30" s="43"/>
      <c r="J30" s="44"/>
      <c r="K30" s="41"/>
    </row>
    <row r="31" ht="15.75" customHeight="1">
      <c r="A31" s="35">
        <v>4098.0</v>
      </c>
      <c r="B31" s="41" t="s">
        <v>280</v>
      </c>
      <c r="C31" s="35">
        <v>11.0</v>
      </c>
      <c r="D31" s="35" t="s">
        <v>269</v>
      </c>
      <c r="E31" s="37">
        <v>1000.0</v>
      </c>
      <c r="F31" s="35" t="s">
        <v>242</v>
      </c>
      <c r="G31" s="35" t="s">
        <v>163</v>
      </c>
      <c r="H31" s="45"/>
      <c r="I31" s="43"/>
      <c r="J31" s="44"/>
      <c r="K31" s="41"/>
    </row>
    <row r="32" ht="15.75" customHeight="1">
      <c r="A32" s="35">
        <v>9908.0</v>
      </c>
      <c r="B32" s="41" t="s">
        <v>281</v>
      </c>
      <c r="C32" s="35">
        <v>11.0</v>
      </c>
      <c r="D32" s="35" t="s">
        <v>271</v>
      </c>
      <c r="E32" s="37">
        <v>1000.0</v>
      </c>
      <c r="F32" s="35" t="s">
        <v>242</v>
      </c>
      <c r="G32" s="35" t="s">
        <v>163</v>
      </c>
      <c r="H32" s="45"/>
      <c r="I32" s="43"/>
      <c r="J32" s="44"/>
      <c r="K32" s="41"/>
    </row>
    <row r="33" ht="15.75" customHeight="1">
      <c r="A33" s="35">
        <v>8601.0</v>
      </c>
      <c r="B33" s="41" t="s">
        <v>282</v>
      </c>
      <c r="C33" s="35">
        <v>11.0</v>
      </c>
      <c r="D33" s="35" t="s">
        <v>273</v>
      </c>
      <c r="E33" s="37">
        <v>1000.0</v>
      </c>
      <c r="F33" s="35" t="s">
        <v>242</v>
      </c>
      <c r="G33" s="35" t="s">
        <v>163</v>
      </c>
      <c r="H33" s="45"/>
      <c r="I33" s="43"/>
      <c r="J33" s="44"/>
      <c r="K33" s="41"/>
    </row>
    <row r="34" ht="15.75" customHeight="1">
      <c r="A34" s="35">
        <v>3466.0</v>
      </c>
      <c r="B34" s="35" t="s">
        <v>79</v>
      </c>
      <c r="C34" s="35">
        <v>11.0</v>
      </c>
      <c r="D34" s="35" t="s">
        <v>80</v>
      </c>
      <c r="E34" s="37">
        <v>130.35</v>
      </c>
      <c r="F34" s="35" t="s">
        <v>242</v>
      </c>
      <c r="G34" s="35" t="s">
        <v>163</v>
      </c>
      <c r="H34" s="42">
        <v>46183.64832175926</v>
      </c>
      <c r="I34" s="43"/>
      <c r="J34" s="44"/>
      <c r="K34" s="41"/>
    </row>
    <row r="35" ht="15.75" customHeight="1">
      <c r="A35" s="35">
        <v>8300.0</v>
      </c>
      <c r="B35" s="35" t="s">
        <v>283</v>
      </c>
      <c r="C35" s="35">
        <v>11.0</v>
      </c>
      <c r="D35" s="35" t="s">
        <v>284</v>
      </c>
      <c r="E35" s="37">
        <v>27.22</v>
      </c>
      <c r="F35" s="35" t="s">
        <v>242</v>
      </c>
      <c r="G35" s="35" t="s">
        <v>163</v>
      </c>
      <c r="H35" s="42">
        <v>46183.572858796295</v>
      </c>
      <c r="I35" s="43"/>
      <c r="J35" s="44"/>
      <c r="K35" s="41"/>
    </row>
    <row r="36" ht="15.75" customHeight="1">
      <c r="A36" s="35">
        <v>1688.0</v>
      </c>
      <c r="B36" s="35" t="s">
        <v>285</v>
      </c>
      <c r="C36" s="35">
        <v>11.0</v>
      </c>
      <c r="D36" s="35" t="s">
        <v>286</v>
      </c>
      <c r="E36" s="37">
        <v>168.92</v>
      </c>
      <c r="F36" s="35" t="s">
        <v>242</v>
      </c>
      <c r="G36" s="35" t="s">
        <v>163</v>
      </c>
      <c r="H36" s="42">
        <v>46183.68376157407</v>
      </c>
      <c r="I36" s="43"/>
      <c r="J36" s="44"/>
      <c r="K36" s="41"/>
    </row>
    <row r="37" ht="15.75" customHeight="1">
      <c r="A37" s="35">
        <v>8045.0</v>
      </c>
      <c r="B37" s="41" t="s">
        <v>287</v>
      </c>
      <c r="C37" s="35">
        <v>11.0</v>
      </c>
      <c r="D37" s="35" t="s">
        <v>288</v>
      </c>
      <c r="E37" s="37">
        <v>1000.0</v>
      </c>
      <c r="F37" s="35" t="s">
        <v>242</v>
      </c>
      <c r="G37" s="35" t="s">
        <v>163</v>
      </c>
      <c r="H37" s="45"/>
      <c r="I37" s="43"/>
      <c r="J37" s="44"/>
      <c r="K37" s="41"/>
    </row>
    <row r="38" ht="15.75" customHeight="1">
      <c r="A38" s="35">
        <v>1926.0</v>
      </c>
      <c r="B38" s="41" t="s">
        <v>289</v>
      </c>
      <c r="C38" s="35">
        <v>11.0</v>
      </c>
      <c r="D38" s="35" t="s">
        <v>290</v>
      </c>
      <c r="E38" s="37">
        <v>1000.0</v>
      </c>
      <c r="F38" s="35" t="s">
        <v>242</v>
      </c>
      <c r="G38" s="35" t="s">
        <v>163</v>
      </c>
      <c r="H38" s="45"/>
      <c r="I38" s="43"/>
      <c r="J38" s="44"/>
      <c r="K38" s="41"/>
    </row>
    <row r="39" ht="15.75" customHeight="1">
      <c r="A39" s="35">
        <v>1035.0</v>
      </c>
      <c r="B39" s="41" t="s">
        <v>291</v>
      </c>
      <c r="C39" s="35">
        <v>11.0</v>
      </c>
      <c r="D39" s="35" t="s">
        <v>292</v>
      </c>
      <c r="E39" s="37">
        <v>1000.0</v>
      </c>
      <c r="F39" s="35" t="s">
        <v>242</v>
      </c>
      <c r="G39" s="35" t="s">
        <v>163</v>
      </c>
      <c r="H39" s="45"/>
      <c r="I39" s="43"/>
      <c r="J39" s="44"/>
      <c r="K39" s="41"/>
    </row>
    <row r="40" ht="15.75" customHeight="1">
      <c r="A40" s="35">
        <v>3706.0</v>
      </c>
      <c r="B40" s="35" t="s">
        <v>293</v>
      </c>
      <c r="C40" s="35">
        <v>11.0</v>
      </c>
      <c r="D40" s="35" t="s">
        <v>294</v>
      </c>
      <c r="E40" s="37">
        <v>107.95</v>
      </c>
      <c r="F40" s="35" t="s">
        <v>242</v>
      </c>
      <c r="G40" s="35" t="s">
        <v>163</v>
      </c>
      <c r="H40" s="42">
        <v>46183.59241898148</v>
      </c>
      <c r="I40" s="43"/>
      <c r="J40" s="44"/>
      <c r="K40" s="41"/>
    </row>
    <row r="41" ht="15.75" customHeight="1">
      <c r="A41" s="35">
        <v>1117.0</v>
      </c>
      <c r="B41" s="35" t="s">
        <v>295</v>
      </c>
      <c r="C41" s="35">
        <v>8.0</v>
      </c>
      <c r="D41" s="41"/>
      <c r="E41" s="37">
        <v>48.17</v>
      </c>
      <c r="F41" s="35" t="s">
        <v>242</v>
      </c>
      <c r="G41" s="35" t="s">
        <v>163</v>
      </c>
      <c r="H41" s="42">
        <v>46185.65935185185</v>
      </c>
      <c r="I41" s="43"/>
      <c r="J41" s="44"/>
      <c r="K41" s="41"/>
    </row>
    <row r="42" ht="15.75" customHeight="1">
      <c r="A42" s="35">
        <v>9658.0</v>
      </c>
      <c r="B42" s="35" t="s">
        <v>296</v>
      </c>
      <c r="C42" s="35">
        <v>8.0</v>
      </c>
      <c r="D42" s="41"/>
      <c r="E42" s="37">
        <v>40.51</v>
      </c>
      <c r="F42" s="35" t="s">
        <v>242</v>
      </c>
      <c r="G42" s="35" t="s">
        <v>163</v>
      </c>
      <c r="H42" s="42">
        <v>46187.343136574076</v>
      </c>
      <c r="I42" s="43"/>
      <c r="J42" s="44"/>
      <c r="K42" s="41"/>
    </row>
    <row r="43" ht="15.75" customHeight="1">
      <c r="A43" s="35">
        <v>4647.0</v>
      </c>
      <c r="B43" s="35" t="s">
        <v>84</v>
      </c>
      <c r="C43" s="35">
        <v>8.0</v>
      </c>
      <c r="D43" s="41"/>
      <c r="E43" s="37">
        <v>42.61</v>
      </c>
      <c r="F43" s="35" t="s">
        <v>242</v>
      </c>
      <c r="G43" s="35" t="s">
        <v>163</v>
      </c>
      <c r="H43" s="42">
        <v>46187.57518518518</v>
      </c>
      <c r="I43" s="43"/>
      <c r="J43" s="44"/>
      <c r="K43" s="41"/>
    </row>
    <row r="44" ht="15.75" customHeight="1">
      <c r="A44" s="35">
        <v>4346.0</v>
      </c>
      <c r="B44" s="35" t="s">
        <v>297</v>
      </c>
      <c r="C44" s="35">
        <v>8.0</v>
      </c>
      <c r="D44" s="41"/>
      <c r="E44" s="37">
        <v>1964.86</v>
      </c>
      <c r="F44" s="35" t="s">
        <v>242</v>
      </c>
      <c r="G44" s="35" t="s">
        <v>163</v>
      </c>
      <c r="H44" s="42">
        <v>46185.686527777776</v>
      </c>
      <c r="I44" s="43"/>
      <c r="J44" s="44"/>
      <c r="K44" s="41"/>
    </row>
    <row r="45" ht="15.75" customHeight="1">
      <c r="A45" s="35">
        <v>8332.0</v>
      </c>
      <c r="B45" s="35" t="s">
        <v>298</v>
      </c>
      <c r="C45" s="35">
        <v>8.0</v>
      </c>
      <c r="D45" s="41"/>
      <c r="E45" s="37">
        <v>921.89</v>
      </c>
      <c r="F45" s="35" t="s">
        <v>242</v>
      </c>
      <c r="G45" s="35" t="s">
        <v>163</v>
      </c>
      <c r="H45" s="42">
        <v>46184.59222222222</v>
      </c>
      <c r="I45" s="43"/>
      <c r="J45" s="44"/>
      <c r="K45" s="41"/>
    </row>
    <row r="46" ht="15.75" customHeight="1">
      <c r="A46" s="35">
        <v>6050.0</v>
      </c>
      <c r="B46" s="35" t="s">
        <v>299</v>
      </c>
      <c r="C46" s="35">
        <v>8.0</v>
      </c>
      <c r="D46" s="41"/>
      <c r="E46" s="37">
        <v>38.28</v>
      </c>
      <c r="F46" s="35" t="s">
        <v>242</v>
      </c>
      <c r="G46" s="35" t="s">
        <v>163</v>
      </c>
      <c r="H46" s="42">
        <v>46183.595821759256</v>
      </c>
      <c r="I46" s="43"/>
      <c r="J46" s="44"/>
      <c r="K46" s="41"/>
    </row>
    <row r="47" ht="15.75" customHeight="1">
      <c r="A47" s="35">
        <v>9842.0</v>
      </c>
      <c r="B47" s="35" t="s">
        <v>300</v>
      </c>
      <c r="C47" s="35">
        <v>8.0</v>
      </c>
      <c r="D47" s="41"/>
      <c r="E47" s="37">
        <v>257.9</v>
      </c>
      <c r="F47" s="35" t="s">
        <v>242</v>
      </c>
      <c r="G47" s="35" t="s">
        <v>163</v>
      </c>
      <c r="H47" s="42">
        <v>46184.40719907408</v>
      </c>
      <c r="I47" s="43"/>
      <c r="J47" s="44"/>
      <c r="K47" s="41"/>
    </row>
    <row r="48" ht="15.75" customHeight="1">
      <c r="A48" s="35">
        <v>2399.0</v>
      </c>
      <c r="B48" s="35" t="s">
        <v>301</v>
      </c>
      <c r="C48" s="35">
        <v>8.0</v>
      </c>
      <c r="D48" s="41"/>
      <c r="E48" s="37">
        <v>290.59</v>
      </c>
      <c r="F48" s="35" t="s">
        <v>242</v>
      </c>
      <c r="G48" s="35" t="s">
        <v>163</v>
      </c>
      <c r="H48" s="42">
        <v>46184.40646990741</v>
      </c>
      <c r="I48" s="43"/>
      <c r="J48" s="44"/>
      <c r="K48" s="41"/>
    </row>
    <row r="49" ht="15.75" customHeight="1">
      <c r="A49" s="35">
        <v>8365.0</v>
      </c>
      <c r="B49" s="35" t="s">
        <v>302</v>
      </c>
      <c r="C49" s="35">
        <v>8.0</v>
      </c>
      <c r="D49" s="41"/>
      <c r="E49" s="37">
        <v>774.4</v>
      </c>
      <c r="F49" s="35" t="s">
        <v>242</v>
      </c>
      <c r="G49" s="35" t="s">
        <v>163</v>
      </c>
      <c r="H49" s="42">
        <v>46185.59349537037</v>
      </c>
      <c r="I49" s="43"/>
      <c r="J49" s="44"/>
      <c r="K49" s="41"/>
    </row>
    <row r="50" ht="15.75" customHeight="1">
      <c r="A50" s="35">
        <v>6742.0</v>
      </c>
      <c r="B50" s="35" t="s">
        <v>303</v>
      </c>
      <c r="C50" s="35">
        <v>8.0</v>
      </c>
      <c r="D50" s="41"/>
      <c r="E50" s="37">
        <v>649.56</v>
      </c>
      <c r="F50" s="35" t="s">
        <v>242</v>
      </c>
      <c r="G50" s="35" t="s">
        <v>163</v>
      </c>
      <c r="H50" s="42">
        <v>46187.675462962965</v>
      </c>
      <c r="I50" s="43"/>
      <c r="J50" s="44"/>
      <c r="K50" s="41"/>
    </row>
    <row r="51" ht="15.75" customHeight="1">
      <c r="A51" s="35">
        <v>8043.0</v>
      </c>
      <c r="B51" s="35" t="s">
        <v>304</v>
      </c>
      <c r="C51" s="35">
        <v>8.0</v>
      </c>
      <c r="D51" s="41"/>
      <c r="E51" s="37">
        <v>153.98</v>
      </c>
      <c r="F51" s="35" t="s">
        <v>242</v>
      </c>
      <c r="G51" s="35" t="s">
        <v>163</v>
      </c>
      <c r="H51" s="42">
        <v>46186.675358796296</v>
      </c>
      <c r="I51" s="43"/>
      <c r="J51" s="44"/>
      <c r="K51" s="41"/>
    </row>
    <row r="52" ht="15.75" customHeight="1">
      <c r="A52" s="35">
        <v>1749.0</v>
      </c>
      <c r="B52" s="35" t="s">
        <v>305</v>
      </c>
      <c r="C52" s="35">
        <v>8.0</v>
      </c>
      <c r="D52" s="41"/>
      <c r="E52" s="37">
        <v>497.54</v>
      </c>
      <c r="F52" s="35" t="s">
        <v>242</v>
      </c>
      <c r="G52" s="35" t="s">
        <v>163</v>
      </c>
      <c r="H52" s="42">
        <v>46187.652766203704</v>
      </c>
      <c r="I52" s="43"/>
      <c r="J52" s="44"/>
      <c r="K52" s="41"/>
    </row>
    <row r="53" ht="15.75" customHeight="1">
      <c r="A53" s="35">
        <v>6119.0</v>
      </c>
      <c r="B53" s="35" t="s">
        <v>306</v>
      </c>
      <c r="C53" s="35">
        <v>8.0</v>
      </c>
      <c r="D53" s="41"/>
      <c r="E53" s="37">
        <v>458.06</v>
      </c>
      <c r="F53" s="35" t="s">
        <v>242</v>
      </c>
      <c r="G53" s="35" t="s">
        <v>163</v>
      </c>
      <c r="H53" s="42">
        <v>46185.597650462965</v>
      </c>
      <c r="I53" s="43"/>
      <c r="J53" s="44"/>
      <c r="K53" s="41"/>
    </row>
    <row r="54" ht="15.75" customHeight="1">
      <c r="A54" s="35">
        <v>5121.0</v>
      </c>
      <c r="B54" s="35" t="s">
        <v>307</v>
      </c>
      <c r="C54" s="35">
        <v>8.0</v>
      </c>
      <c r="D54" s="41"/>
      <c r="E54" s="37">
        <v>86.92</v>
      </c>
      <c r="F54" s="35" t="s">
        <v>242</v>
      </c>
      <c r="G54" s="35" t="s">
        <v>163</v>
      </c>
      <c r="H54" s="42">
        <v>46185.65726851852</v>
      </c>
      <c r="I54" s="43"/>
      <c r="J54" s="44"/>
      <c r="K54" s="41"/>
    </row>
    <row r="55" ht="15.75" customHeight="1">
      <c r="A55" s="35">
        <v>676768.0</v>
      </c>
      <c r="B55" s="35" t="s">
        <v>308</v>
      </c>
      <c r="C55" s="35">
        <v>8.0</v>
      </c>
      <c r="D55" s="41"/>
      <c r="E55" s="37">
        <v>45.45</v>
      </c>
      <c r="F55" s="35" t="s">
        <v>242</v>
      </c>
      <c r="G55" s="35" t="s">
        <v>163</v>
      </c>
      <c r="H55" s="42">
        <v>46187.56932870371</v>
      </c>
      <c r="I55" s="43"/>
      <c r="J55" s="44"/>
      <c r="K55" s="41"/>
    </row>
    <row r="56" ht="15.75" customHeight="1">
      <c r="A56" s="35">
        <v>8375.0</v>
      </c>
      <c r="B56" s="35" t="s">
        <v>309</v>
      </c>
      <c r="C56" s="35">
        <v>8.0</v>
      </c>
      <c r="D56" s="41"/>
      <c r="E56" s="37">
        <v>419.36</v>
      </c>
      <c r="F56" s="35" t="s">
        <v>242</v>
      </c>
      <c r="G56" s="35" t="s">
        <v>163</v>
      </c>
      <c r="H56" s="42">
        <v>46183.59747685185</v>
      </c>
      <c r="I56" s="43"/>
      <c r="J56" s="44"/>
      <c r="K56" s="41"/>
    </row>
    <row r="57" ht="15.75" customHeight="1">
      <c r="A57" s="35">
        <v>7920.0</v>
      </c>
      <c r="B57" s="35" t="s">
        <v>310</v>
      </c>
      <c r="C57" s="35">
        <v>8.0</v>
      </c>
      <c r="D57" s="41"/>
      <c r="E57" s="37">
        <v>870.12</v>
      </c>
      <c r="F57" s="35" t="s">
        <v>242</v>
      </c>
      <c r="G57" s="35" t="s">
        <v>163</v>
      </c>
      <c r="H57" s="42">
        <v>46185.60037037037</v>
      </c>
      <c r="I57" s="43"/>
      <c r="J57" s="44"/>
      <c r="K57" s="41"/>
    </row>
    <row r="58" ht="15.75" customHeight="1">
      <c r="A58" s="35">
        <v>8673.0</v>
      </c>
      <c r="B58" s="35" t="s">
        <v>311</v>
      </c>
      <c r="C58" s="35">
        <v>8.0</v>
      </c>
      <c r="D58" s="41"/>
      <c r="E58" s="37">
        <v>130.1</v>
      </c>
      <c r="F58" s="35" t="s">
        <v>242</v>
      </c>
      <c r="G58" s="35" t="s">
        <v>163</v>
      </c>
      <c r="H58" s="42">
        <v>46185.59657407407</v>
      </c>
      <c r="I58" s="43"/>
      <c r="J58" s="44"/>
      <c r="K58" s="41"/>
    </row>
    <row r="59" ht="15.75" customHeight="1">
      <c r="B59" s="41"/>
      <c r="C59" s="41"/>
      <c r="D59" s="41"/>
      <c r="E59" s="46"/>
      <c r="F59" s="41"/>
      <c r="G59" s="41"/>
      <c r="H59" s="45"/>
      <c r="I59" s="43"/>
      <c r="J59" s="44"/>
      <c r="K59" s="41"/>
    </row>
    <row r="60" ht="15.75" customHeight="1">
      <c r="A60" s="35">
        <v>2233.0</v>
      </c>
      <c r="B60" s="35" t="s">
        <v>86</v>
      </c>
      <c r="C60" s="35" t="s">
        <v>87</v>
      </c>
      <c r="D60" s="41"/>
      <c r="E60" s="37">
        <v>51.9</v>
      </c>
      <c r="F60" s="41"/>
      <c r="G60" s="35" t="s">
        <v>163</v>
      </c>
      <c r="H60" s="42">
        <v>46183.65100694444</v>
      </c>
      <c r="I60" s="43"/>
      <c r="J60" s="44"/>
      <c r="K60" s="41"/>
    </row>
    <row r="61" ht="15.75" customHeight="1">
      <c r="A61" s="35">
        <v>4316.0</v>
      </c>
      <c r="B61" s="35" t="s">
        <v>312</v>
      </c>
      <c r="C61" s="41"/>
      <c r="D61" s="41"/>
      <c r="E61" s="37">
        <v>486.43</v>
      </c>
      <c r="F61" s="41"/>
      <c r="G61" s="35" t="s">
        <v>163</v>
      </c>
      <c r="H61" s="42">
        <v>46185.40840277778</v>
      </c>
      <c r="I61" s="43"/>
      <c r="J61" s="44"/>
      <c r="K61" s="41"/>
    </row>
    <row r="62" ht="15.75" customHeight="1">
      <c r="A62" s="35">
        <v>3553.0</v>
      </c>
      <c r="B62" s="35" t="s">
        <v>313</v>
      </c>
      <c r="C62" s="41"/>
      <c r="D62" s="41"/>
      <c r="E62" s="37">
        <v>150.84</v>
      </c>
      <c r="F62" s="41"/>
      <c r="G62" s="35" t="s">
        <v>163</v>
      </c>
      <c r="H62" s="42">
        <v>46185.64158564815</v>
      </c>
      <c r="I62" s="43"/>
      <c r="J62" s="44"/>
      <c r="K62" s="41"/>
    </row>
    <row r="63" ht="15.75" customHeight="1">
      <c r="A63" s="35">
        <v>7415.0</v>
      </c>
      <c r="B63" s="35" t="s">
        <v>314</v>
      </c>
      <c r="C63" s="41"/>
      <c r="D63" s="41"/>
      <c r="E63" s="37">
        <v>528.56</v>
      </c>
      <c r="F63" s="41"/>
      <c r="G63" s="35" t="s">
        <v>163</v>
      </c>
      <c r="H63" s="42">
        <v>46185.55556712963</v>
      </c>
      <c r="I63" s="43"/>
      <c r="J63" s="44"/>
      <c r="K63" s="41"/>
    </row>
    <row r="64" ht="15.75" customHeight="1">
      <c r="A64" s="35">
        <v>2240.0</v>
      </c>
      <c r="B64" s="35" t="s">
        <v>315</v>
      </c>
      <c r="C64" s="41"/>
      <c r="D64" s="41"/>
      <c r="E64" s="37">
        <v>1000.0</v>
      </c>
      <c r="F64" s="41"/>
      <c r="G64" s="35" t="s">
        <v>163</v>
      </c>
      <c r="H64" s="45"/>
      <c r="I64" s="43"/>
      <c r="J64" s="44"/>
      <c r="K64" s="41"/>
    </row>
    <row r="65" ht="15.75" customHeight="1">
      <c r="A65" s="35">
        <v>1535.0</v>
      </c>
      <c r="B65" s="35" t="s">
        <v>316</v>
      </c>
      <c r="C65" s="41"/>
      <c r="D65" s="41"/>
      <c r="E65" s="37">
        <v>1.89</v>
      </c>
      <c r="F65" s="41"/>
      <c r="G65" s="35" t="s">
        <v>163</v>
      </c>
      <c r="H65" s="42">
        <v>46185.584652777776</v>
      </c>
      <c r="I65" s="43"/>
      <c r="J65" s="44"/>
      <c r="K65" s="41"/>
    </row>
    <row r="66" ht="15.75" customHeight="1">
      <c r="A66" s="35">
        <v>7260.0</v>
      </c>
      <c r="B66" s="35" t="s">
        <v>317</v>
      </c>
      <c r="C66" s="41"/>
      <c r="D66" s="41"/>
      <c r="E66" s="37">
        <v>1056.96</v>
      </c>
      <c r="F66" s="41"/>
      <c r="G66" s="35" t="s">
        <v>163</v>
      </c>
      <c r="H66" s="42">
        <v>46185.63997685185</v>
      </c>
      <c r="I66" s="43"/>
      <c r="J66" s="44"/>
      <c r="K66" s="41"/>
    </row>
    <row r="67" ht="15.75" customHeight="1">
      <c r="A67" s="35">
        <v>7773.0</v>
      </c>
      <c r="B67" s="35" t="s">
        <v>318</v>
      </c>
      <c r="C67" s="41"/>
      <c r="D67" s="41"/>
      <c r="E67" s="37">
        <v>599.12</v>
      </c>
      <c r="F67" s="41"/>
      <c r="G67" s="35" t="s">
        <v>163</v>
      </c>
      <c r="H67" s="42">
        <v>46185.61056712963</v>
      </c>
      <c r="I67" s="43"/>
      <c r="J67" s="44"/>
      <c r="K67" s="41"/>
    </row>
    <row r="68" ht="15.75" customHeight="1">
      <c r="A68" s="35">
        <v>1064.0</v>
      </c>
      <c r="B68" s="35" t="s">
        <v>319</v>
      </c>
      <c r="C68" s="41"/>
      <c r="D68" s="41"/>
      <c r="E68" s="37">
        <v>187.23</v>
      </c>
      <c r="F68" s="41"/>
      <c r="G68" s="35" t="s">
        <v>163</v>
      </c>
      <c r="H68" s="42">
        <v>46185.555625</v>
      </c>
      <c r="I68" s="43"/>
      <c r="J68" s="44"/>
      <c r="K68" s="41"/>
    </row>
    <row r="69" ht="15.75" customHeight="1">
      <c r="A69" s="35">
        <v>2698.0</v>
      </c>
      <c r="B69" s="35" t="s">
        <v>320</v>
      </c>
      <c r="C69" s="41"/>
      <c r="D69" s="41"/>
      <c r="E69" s="37">
        <v>1000.0</v>
      </c>
      <c r="F69" s="41"/>
      <c r="G69" s="35" t="s">
        <v>163</v>
      </c>
      <c r="H69" s="45"/>
      <c r="I69" s="43"/>
      <c r="J69" s="44"/>
      <c r="K69" s="41"/>
    </row>
    <row r="70" ht="15.75" customHeight="1">
      <c r="A70" s="35">
        <v>8054.0</v>
      </c>
      <c r="B70" s="35" t="s">
        <v>321</v>
      </c>
      <c r="C70" s="41"/>
      <c r="D70" s="41"/>
      <c r="E70" s="37">
        <v>1443.46</v>
      </c>
      <c r="F70" s="41"/>
      <c r="G70" s="35" t="s">
        <v>163</v>
      </c>
      <c r="H70" s="42">
        <v>46185.59792824074</v>
      </c>
      <c r="I70" s="43"/>
      <c r="J70" s="44"/>
      <c r="K70" s="41"/>
    </row>
    <row r="71" ht="15.75" customHeight="1">
      <c r="A71" s="35">
        <v>5938.0</v>
      </c>
      <c r="B71" s="35" t="s">
        <v>322</v>
      </c>
      <c r="C71" s="41"/>
      <c r="D71" s="41"/>
      <c r="E71" s="37">
        <v>284.14</v>
      </c>
      <c r="F71" s="41"/>
      <c r="G71" s="35" t="s">
        <v>163</v>
      </c>
      <c r="H71" s="42">
        <v>46185.629375</v>
      </c>
      <c r="I71" s="43"/>
      <c r="J71" s="44"/>
      <c r="K71" s="41"/>
    </row>
    <row r="72" ht="15.75" customHeight="1">
      <c r="A72" s="35">
        <v>6755.0</v>
      </c>
      <c r="B72" s="35" t="s">
        <v>323</v>
      </c>
      <c r="C72" s="41"/>
      <c r="D72" s="41"/>
      <c r="E72" s="37">
        <v>1000.0</v>
      </c>
      <c r="F72" s="41"/>
      <c r="G72" s="35" t="s">
        <v>163</v>
      </c>
      <c r="H72" s="45"/>
      <c r="I72" s="43"/>
      <c r="J72" s="44"/>
      <c r="K72" s="41"/>
    </row>
    <row r="73" ht="15.75" customHeight="1">
      <c r="A73" s="35">
        <v>2640.0</v>
      </c>
      <c r="B73" s="35" t="s">
        <v>324</v>
      </c>
      <c r="C73" s="41"/>
      <c r="D73" s="41"/>
      <c r="E73" s="37">
        <v>427.96</v>
      </c>
      <c r="F73" s="41"/>
      <c r="G73" s="35" t="s">
        <v>163</v>
      </c>
      <c r="H73" s="42">
        <v>46187.599444444444</v>
      </c>
      <c r="I73" s="43"/>
      <c r="J73" s="44"/>
      <c r="K73" s="41"/>
    </row>
    <row r="74" ht="15.75" customHeight="1">
      <c r="A74" s="35">
        <v>7465.0</v>
      </c>
      <c r="B74" s="35" t="s">
        <v>325</v>
      </c>
      <c r="C74" s="41"/>
      <c r="D74" s="41"/>
      <c r="E74" s="37">
        <v>1703.18</v>
      </c>
      <c r="F74" s="41"/>
      <c r="G74" s="35" t="s">
        <v>163</v>
      </c>
      <c r="H74" s="42">
        <v>46185.63921296296</v>
      </c>
      <c r="I74" s="43"/>
      <c r="J74" s="44"/>
      <c r="K74" s="41"/>
    </row>
    <row r="75" ht="15.75" customHeight="1">
      <c r="A75" s="35">
        <v>6407.0</v>
      </c>
      <c r="B75" s="35" t="s">
        <v>326</v>
      </c>
      <c r="C75" s="41"/>
      <c r="D75" s="41"/>
      <c r="E75" s="37">
        <v>1911.48</v>
      </c>
      <c r="F75" s="41"/>
      <c r="G75" s="35" t="s">
        <v>163</v>
      </c>
      <c r="H75" s="42">
        <v>46184.5325</v>
      </c>
      <c r="I75" s="43"/>
      <c r="J75" s="44"/>
      <c r="K75" s="41"/>
    </row>
    <row r="76" ht="15.75" customHeight="1">
      <c r="A76" s="35">
        <v>1921.0</v>
      </c>
      <c r="B76" s="35" t="s">
        <v>327</v>
      </c>
      <c r="C76" s="41"/>
      <c r="D76" s="41"/>
      <c r="E76" s="37">
        <v>1141.18</v>
      </c>
      <c r="F76" s="41"/>
      <c r="G76" s="35" t="s">
        <v>163</v>
      </c>
      <c r="H76" s="42">
        <v>46185.406006944446</v>
      </c>
      <c r="I76" s="43"/>
      <c r="J76" s="44"/>
      <c r="K76" s="41"/>
    </row>
    <row r="77" ht="15.75" customHeight="1">
      <c r="A77" s="35">
        <v>8657.0</v>
      </c>
      <c r="B77" s="35" t="s">
        <v>328</v>
      </c>
      <c r="C77" s="41"/>
      <c r="D77" s="41"/>
      <c r="E77" s="37">
        <v>1740.57</v>
      </c>
      <c r="F77" s="41"/>
      <c r="G77" s="35" t="s">
        <v>163</v>
      </c>
      <c r="H77" s="42">
        <v>46184.44306712963</v>
      </c>
      <c r="I77" s="43"/>
      <c r="J77" s="44"/>
      <c r="K77" s="41"/>
    </row>
    <row r="78" ht="15.75" customHeight="1">
      <c r="A78" s="35">
        <v>8312.0</v>
      </c>
      <c r="B78" s="35" t="s">
        <v>329</v>
      </c>
      <c r="C78" s="41"/>
      <c r="D78" s="41"/>
      <c r="E78" s="37">
        <v>1000.0</v>
      </c>
      <c r="F78" s="41"/>
      <c r="G78" s="35" t="s">
        <v>163</v>
      </c>
      <c r="H78" s="45"/>
      <c r="I78" s="43"/>
      <c r="J78" s="44"/>
      <c r="K78" s="41"/>
    </row>
    <row r="79" ht="15.75" customHeight="1">
      <c r="A79" s="35">
        <v>6657.0</v>
      </c>
      <c r="B79" s="35" t="s">
        <v>330</v>
      </c>
      <c r="C79" s="41"/>
      <c r="D79" s="41"/>
      <c r="E79" s="37">
        <v>1390.51</v>
      </c>
      <c r="F79" s="41"/>
      <c r="G79" s="35" t="s">
        <v>163</v>
      </c>
      <c r="H79" s="42">
        <v>46185.51641203704</v>
      </c>
      <c r="I79" s="43"/>
      <c r="J79" s="44"/>
      <c r="K79" s="41"/>
    </row>
    <row r="80" ht="15.75" customHeight="1">
      <c r="A80" s="35">
        <v>9500.0</v>
      </c>
      <c r="B80" s="35" t="s">
        <v>331</v>
      </c>
      <c r="C80" s="41"/>
      <c r="D80" s="41"/>
      <c r="E80" s="37">
        <v>1389.61</v>
      </c>
      <c r="F80" s="41"/>
      <c r="G80" s="35" t="s">
        <v>163</v>
      </c>
      <c r="H80" s="42">
        <v>46184.42736111111</v>
      </c>
      <c r="I80" s="43"/>
      <c r="J80" s="44"/>
      <c r="K80" s="41"/>
    </row>
    <row r="81" ht="15.75" customHeight="1">
      <c r="A81" s="35"/>
      <c r="B81" s="41"/>
      <c r="C81" s="41"/>
      <c r="D81" s="41"/>
      <c r="E81" s="46"/>
      <c r="F81" s="41"/>
      <c r="G81" s="41"/>
      <c r="H81" s="45"/>
      <c r="I81" s="43"/>
      <c r="J81" s="44"/>
      <c r="K81" s="41"/>
    </row>
    <row r="82" ht="15.75" customHeight="1">
      <c r="A82" s="35"/>
      <c r="B82" s="41"/>
      <c r="C82" s="41"/>
      <c r="D82" s="41"/>
      <c r="E82" s="46"/>
      <c r="F82" s="41"/>
      <c r="G82" s="41"/>
      <c r="H82" s="45"/>
      <c r="I82" s="43"/>
      <c r="J82" s="44"/>
      <c r="K82" s="41"/>
    </row>
    <row r="83" ht="15.75" customHeight="1">
      <c r="A83" s="35"/>
      <c r="B83" s="41"/>
      <c r="C83" s="41"/>
      <c r="D83" s="41"/>
      <c r="E83" s="46"/>
      <c r="F83" s="41"/>
      <c r="G83" s="41"/>
      <c r="H83" s="45"/>
      <c r="I83" s="43"/>
      <c r="J83" s="44"/>
      <c r="K83" s="41"/>
    </row>
    <row r="84" ht="15.75" customHeight="1">
      <c r="A84" s="35"/>
      <c r="B84" s="41"/>
      <c r="C84" s="41"/>
      <c r="D84" s="41"/>
      <c r="E84" s="46"/>
      <c r="F84" s="41"/>
      <c r="G84" s="41"/>
      <c r="H84" s="45"/>
      <c r="I84" s="43"/>
      <c r="J84" s="44"/>
      <c r="K84" s="41"/>
    </row>
    <row r="85" ht="15.75" customHeight="1">
      <c r="A85" s="35"/>
      <c r="B85" s="41"/>
      <c r="C85" s="41"/>
      <c r="D85" s="41"/>
      <c r="E85" s="46"/>
      <c r="F85" s="41"/>
      <c r="G85" s="41"/>
      <c r="H85" s="45"/>
      <c r="I85" s="43"/>
      <c r="J85" s="44"/>
      <c r="K85" s="41"/>
    </row>
    <row r="86" ht="15.75" customHeight="1">
      <c r="A86" s="35"/>
      <c r="B86" s="41"/>
      <c r="C86" s="41"/>
      <c r="D86" s="41"/>
      <c r="E86" s="46"/>
      <c r="F86" s="41"/>
      <c r="G86" s="41"/>
      <c r="H86" s="45"/>
      <c r="I86" s="43"/>
      <c r="J86" s="44"/>
      <c r="K86" s="41"/>
    </row>
    <row r="87" ht="15.75" customHeight="1">
      <c r="A87" s="35"/>
      <c r="B87" s="41"/>
      <c r="C87" s="41"/>
      <c r="D87" s="41"/>
      <c r="E87" s="46"/>
      <c r="F87" s="41"/>
      <c r="G87" s="41"/>
      <c r="H87" s="45"/>
      <c r="I87" s="43"/>
      <c r="J87" s="44"/>
      <c r="K87" s="41"/>
    </row>
    <row r="88" ht="15.75" customHeight="1">
      <c r="A88" s="35"/>
      <c r="B88" s="41"/>
      <c r="C88" s="41"/>
      <c r="D88" s="41"/>
      <c r="E88" s="46"/>
      <c r="F88" s="41"/>
      <c r="G88" s="41"/>
      <c r="H88" s="45"/>
      <c r="I88" s="43"/>
      <c r="J88" s="44"/>
      <c r="K88" s="41"/>
    </row>
    <row r="89" ht="15.75" customHeight="1">
      <c r="A89" s="35"/>
      <c r="B89" s="41"/>
      <c r="C89" s="41"/>
      <c r="D89" s="41"/>
      <c r="E89" s="46"/>
      <c r="F89" s="41"/>
      <c r="G89" s="41"/>
      <c r="H89" s="45"/>
      <c r="I89" s="43"/>
      <c r="J89" s="44"/>
      <c r="K89" s="41"/>
    </row>
    <row r="90" ht="15.75" customHeight="1">
      <c r="A90" s="35"/>
      <c r="B90" s="41"/>
      <c r="C90" s="41"/>
      <c r="D90" s="41"/>
      <c r="E90" s="46"/>
      <c r="F90" s="41"/>
      <c r="G90" s="41"/>
      <c r="H90" s="45"/>
      <c r="I90" s="43"/>
      <c r="J90" s="44"/>
      <c r="K90" s="41"/>
    </row>
    <row r="91" ht="15.75" customHeight="1">
      <c r="A91" s="35"/>
      <c r="B91" s="41"/>
      <c r="C91" s="41"/>
      <c r="D91" s="41"/>
      <c r="E91" s="46"/>
      <c r="F91" s="41"/>
      <c r="G91" s="41"/>
      <c r="H91" s="45"/>
      <c r="I91" s="43"/>
      <c r="J91" s="44"/>
      <c r="K91" s="41"/>
    </row>
    <row r="92" ht="15.75" customHeight="1">
      <c r="A92" s="35"/>
      <c r="B92" s="41"/>
      <c r="C92" s="41"/>
      <c r="D92" s="41"/>
      <c r="E92" s="46"/>
      <c r="F92" s="41"/>
      <c r="G92" s="41"/>
      <c r="H92" s="45"/>
      <c r="I92" s="43"/>
      <c r="J92" s="44"/>
      <c r="K92" s="41"/>
    </row>
    <row r="93" ht="15.75" customHeight="1">
      <c r="A93" s="35"/>
      <c r="B93" s="41"/>
      <c r="C93" s="41"/>
      <c r="D93" s="41"/>
      <c r="E93" s="46"/>
      <c r="F93" s="41"/>
      <c r="G93" s="41"/>
      <c r="H93" s="45"/>
      <c r="I93" s="43"/>
      <c r="J93" s="44"/>
      <c r="K93" s="41"/>
    </row>
    <row r="94" ht="15.75" customHeight="1">
      <c r="A94" s="35"/>
      <c r="B94" s="41"/>
      <c r="C94" s="41"/>
      <c r="D94" s="41"/>
      <c r="E94" s="46"/>
      <c r="F94" s="41"/>
      <c r="G94" s="41"/>
      <c r="H94" s="45"/>
      <c r="I94" s="43"/>
      <c r="J94" s="44"/>
      <c r="K94" s="41"/>
    </row>
    <row r="95" ht="15.75" customHeight="1">
      <c r="A95" s="35"/>
      <c r="B95" s="41"/>
      <c r="C95" s="41"/>
      <c r="D95" s="41"/>
      <c r="E95" s="46"/>
      <c r="F95" s="41"/>
      <c r="G95" s="41"/>
      <c r="H95" s="45"/>
      <c r="I95" s="43"/>
      <c r="J95" s="44"/>
      <c r="K95" s="41"/>
    </row>
    <row r="96" ht="15.75" customHeight="1">
      <c r="A96" s="35"/>
      <c r="B96" s="41"/>
      <c r="C96" s="41"/>
      <c r="D96" s="41"/>
      <c r="E96" s="46"/>
      <c r="F96" s="41"/>
      <c r="G96" s="41"/>
      <c r="H96" s="45"/>
      <c r="I96" s="43"/>
      <c r="J96" s="44"/>
      <c r="K96" s="41"/>
    </row>
    <row r="97" ht="15.75" customHeight="1">
      <c r="A97" s="35"/>
      <c r="B97" s="41"/>
      <c r="C97" s="41"/>
      <c r="D97" s="41"/>
      <c r="E97" s="46"/>
      <c r="F97" s="41"/>
      <c r="G97" s="41"/>
      <c r="H97" s="45"/>
      <c r="I97" s="43"/>
      <c r="J97" s="44"/>
      <c r="K97" s="41"/>
    </row>
    <row r="98" ht="15.75" customHeight="1">
      <c r="A98" s="35"/>
      <c r="B98" s="41"/>
      <c r="C98" s="41"/>
      <c r="D98" s="41"/>
      <c r="E98" s="46"/>
      <c r="F98" s="41"/>
      <c r="G98" s="41"/>
      <c r="H98" s="45"/>
      <c r="I98" s="43"/>
      <c r="J98" s="44"/>
      <c r="K98" s="41"/>
    </row>
    <row r="99" ht="15.75" customHeight="1">
      <c r="A99" s="35"/>
      <c r="B99" s="41"/>
      <c r="C99" s="41"/>
      <c r="D99" s="41"/>
      <c r="E99" s="46"/>
      <c r="F99" s="41"/>
      <c r="G99" s="41"/>
      <c r="H99" s="45"/>
      <c r="I99" s="43"/>
      <c r="J99" s="44"/>
      <c r="K99" s="41"/>
    </row>
    <row r="100" ht="15.75" customHeight="1">
      <c r="A100" s="35"/>
      <c r="B100" s="41"/>
      <c r="C100" s="41"/>
      <c r="D100" s="41"/>
      <c r="E100" s="46"/>
      <c r="F100" s="41"/>
      <c r="G100" s="41"/>
      <c r="H100" s="45"/>
      <c r="I100" s="43"/>
      <c r="J100" s="44"/>
      <c r="K100" s="41"/>
    </row>
    <row r="101" ht="15.75" customHeight="1">
      <c r="A101" s="35"/>
      <c r="B101" s="41"/>
      <c r="C101" s="41"/>
      <c r="D101" s="41"/>
      <c r="E101" s="46"/>
      <c r="F101" s="41"/>
      <c r="G101" s="41"/>
      <c r="H101" s="45"/>
      <c r="I101" s="43"/>
      <c r="J101" s="44"/>
      <c r="K101" s="41"/>
    </row>
    <row r="102" ht="15.75" customHeight="1">
      <c r="A102" s="35"/>
      <c r="B102" s="41"/>
      <c r="C102" s="41"/>
      <c r="D102" s="41"/>
      <c r="E102" s="46"/>
      <c r="F102" s="41"/>
      <c r="G102" s="41"/>
      <c r="H102" s="45"/>
      <c r="I102" s="43"/>
      <c r="J102" s="44"/>
      <c r="K102" s="41"/>
    </row>
    <row r="103" ht="15.75" customHeight="1">
      <c r="A103" s="35"/>
      <c r="B103" s="41"/>
      <c r="C103" s="41"/>
      <c r="D103" s="41"/>
      <c r="E103" s="46"/>
      <c r="F103" s="41"/>
      <c r="G103" s="41"/>
      <c r="H103" s="45"/>
      <c r="I103" s="43"/>
      <c r="J103" s="44"/>
      <c r="K103" s="41"/>
    </row>
    <row r="104" ht="15.75" customHeight="1">
      <c r="A104" s="35"/>
      <c r="B104" s="41"/>
      <c r="C104" s="41"/>
      <c r="D104" s="41"/>
      <c r="E104" s="46"/>
      <c r="F104" s="41"/>
      <c r="G104" s="41"/>
      <c r="H104" s="45"/>
      <c r="I104" s="43"/>
      <c r="J104" s="44"/>
      <c r="K104" s="41"/>
    </row>
    <row r="105" ht="15.75" customHeight="1">
      <c r="A105" s="35"/>
      <c r="B105" s="41"/>
      <c r="C105" s="41"/>
      <c r="D105" s="41"/>
      <c r="E105" s="46"/>
      <c r="F105" s="41"/>
      <c r="G105" s="41"/>
      <c r="H105" s="45"/>
      <c r="I105" s="43"/>
      <c r="J105" s="44"/>
      <c r="K105" s="41"/>
    </row>
    <row r="106" ht="15.75" customHeight="1">
      <c r="A106" s="35"/>
      <c r="B106" s="41"/>
      <c r="C106" s="41"/>
      <c r="D106" s="41"/>
      <c r="E106" s="46"/>
      <c r="F106" s="41"/>
      <c r="G106" s="41"/>
      <c r="H106" s="45"/>
      <c r="I106" s="43"/>
      <c r="J106" s="44"/>
      <c r="K106" s="41"/>
    </row>
    <row r="107" ht="15.75" customHeight="1">
      <c r="A107" s="35"/>
      <c r="B107" s="41"/>
      <c r="C107" s="41"/>
      <c r="D107" s="41"/>
      <c r="E107" s="46"/>
      <c r="F107" s="41"/>
      <c r="G107" s="41"/>
      <c r="H107" s="45"/>
      <c r="I107" s="43"/>
      <c r="J107" s="44"/>
      <c r="K107" s="41"/>
    </row>
    <row r="108" ht="15.75" customHeight="1">
      <c r="A108" s="35"/>
      <c r="B108" s="41"/>
      <c r="C108" s="41"/>
      <c r="D108" s="41"/>
      <c r="E108" s="46"/>
      <c r="F108" s="41"/>
      <c r="G108" s="41"/>
      <c r="H108" s="45"/>
      <c r="I108" s="43"/>
      <c r="J108" s="44"/>
      <c r="K108" s="41"/>
    </row>
    <row r="109" ht="15.75" customHeight="1">
      <c r="A109" s="35"/>
      <c r="B109" s="41"/>
      <c r="C109" s="41"/>
      <c r="D109" s="41"/>
      <c r="E109" s="46"/>
      <c r="F109" s="41"/>
      <c r="G109" s="41"/>
      <c r="H109" s="45"/>
      <c r="I109" s="43"/>
      <c r="J109" s="44"/>
      <c r="K109" s="41"/>
    </row>
    <row r="110" ht="15.75" customHeight="1">
      <c r="A110" s="35"/>
      <c r="B110" s="41"/>
      <c r="C110" s="41"/>
      <c r="D110" s="41"/>
      <c r="E110" s="46"/>
      <c r="F110" s="41"/>
      <c r="G110" s="41"/>
      <c r="H110" s="45"/>
      <c r="I110" s="43"/>
      <c r="J110" s="44"/>
      <c r="K110" s="41"/>
    </row>
    <row r="111" ht="15.75" customHeight="1">
      <c r="A111" s="35"/>
      <c r="B111" s="41"/>
      <c r="C111" s="41"/>
      <c r="D111" s="41"/>
      <c r="E111" s="46"/>
      <c r="F111" s="41"/>
      <c r="G111" s="41"/>
      <c r="H111" s="45"/>
      <c r="I111" s="43"/>
      <c r="J111" s="44"/>
      <c r="K111" s="41"/>
    </row>
    <row r="112" ht="15.75" customHeight="1">
      <c r="A112" s="35"/>
      <c r="B112" s="41"/>
      <c r="C112" s="41"/>
      <c r="D112" s="41"/>
      <c r="E112" s="46"/>
      <c r="F112" s="41"/>
      <c r="G112" s="41"/>
      <c r="H112" s="45"/>
      <c r="I112" s="43"/>
      <c r="J112" s="44"/>
      <c r="K112" s="41"/>
    </row>
    <row r="113" ht="15.75" customHeight="1">
      <c r="A113" s="35"/>
      <c r="B113" s="41"/>
      <c r="C113" s="41"/>
      <c r="D113" s="41"/>
      <c r="E113" s="46"/>
      <c r="F113" s="41"/>
      <c r="G113" s="41"/>
      <c r="H113" s="45"/>
      <c r="I113" s="43"/>
      <c r="J113" s="44"/>
      <c r="K113" s="41"/>
    </row>
    <row r="114" ht="15.75" customHeight="1">
      <c r="A114" s="35"/>
      <c r="B114" s="41"/>
      <c r="C114" s="41"/>
      <c r="D114" s="41"/>
      <c r="E114" s="46"/>
      <c r="F114" s="41"/>
      <c r="G114" s="41"/>
      <c r="H114" s="45"/>
      <c r="I114" s="43"/>
      <c r="J114" s="44"/>
      <c r="K114" s="41"/>
    </row>
    <row r="115" ht="15.75" customHeight="1">
      <c r="A115" s="35"/>
      <c r="B115" s="41"/>
      <c r="C115" s="41"/>
      <c r="D115" s="41"/>
      <c r="E115" s="46"/>
      <c r="F115" s="41"/>
      <c r="G115" s="41"/>
      <c r="H115" s="45"/>
      <c r="I115" s="43"/>
      <c r="J115" s="44"/>
      <c r="K115" s="41"/>
    </row>
    <row r="116" ht="15.75" customHeight="1">
      <c r="A116" s="35"/>
      <c r="B116" s="41"/>
      <c r="C116" s="41"/>
      <c r="D116" s="41"/>
      <c r="E116" s="46"/>
      <c r="F116" s="41"/>
      <c r="G116" s="41"/>
      <c r="H116" s="45"/>
      <c r="I116" s="43"/>
      <c r="J116" s="44"/>
      <c r="K116" s="41"/>
    </row>
    <row r="117" ht="15.75" customHeight="1">
      <c r="A117" s="35"/>
      <c r="B117" s="41"/>
      <c r="C117" s="41"/>
      <c r="D117" s="41"/>
      <c r="E117" s="46"/>
      <c r="F117" s="41"/>
      <c r="G117" s="41"/>
      <c r="H117" s="45"/>
      <c r="I117" s="43"/>
      <c r="J117" s="44"/>
      <c r="K117" s="41"/>
    </row>
    <row r="118" ht="15.75" customHeight="1">
      <c r="A118" s="35"/>
      <c r="B118" s="41"/>
      <c r="C118" s="41"/>
      <c r="D118" s="41"/>
      <c r="E118" s="46"/>
      <c r="F118" s="41"/>
      <c r="G118" s="41"/>
      <c r="H118" s="45"/>
      <c r="I118" s="43"/>
      <c r="J118" s="44"/>
      <c r="K118" s="41"/>
    </row>
    <row r="119" ht="15.75" customHeight="1">
      <c r="A119" s="35"/>
      <c r="B119" s="41"/>
      <c r="C119" s="41"/>
      <c r="D119" s="41"/>
      <c r="E119" s="46"/>
      <c r="F119" s="41"/>
      <c r="G119" s="41"/>
      <c r="H119" s="45"/>
      <c r="I119" s="43"/>
      <c r="J119" s="44"/>
      <c r="K119" s="41"/>
    </row>
    <row r="120" ht="15.75" customHeight="1">
      <c r="A120" s="35"/>
      <c r="B120" s="41"/>
      <c r="C120" s="41"/>
      <c r="D120" s="41"/>
      <c r="E120" s="46"/>
      <c r="F120" s="41"/>
      <c r="G120" s="41"/>
      <c r="H120" s="45"/>
      <c r="I120" s="43"/>
      <c r="J120" s="44"/>
      <c r="K120" s="41"/>
    </row>
    <row r="121" ht="15.75" customHeight="1">
      <c r="A121" s="35"/>
      <c r="B121" s="41"/>
      <c r="C121" s="41"/>
      <c r="D121" s="41"/>
      <c r="E121" s="46"/>
      <c r="F121" s="41"/>
      <c r="G121" s="41"/>
      <c r="H121" s="45"/>
      <c r="I121" s="43"/>
      <c r="J121" s="44"/>
      <c r="K121" s="41"/>
    </row>
    <row r="122" ht="15.75" customHeight="1">
      <c r="A122" s="35"/>
      <c r="B122" s="41"/>
      <c r="C122" s="41"/>
      <c r="D122" s="41"/>
      <c r="E122" s="46"/>
      <c r="F122" s="41"/>
      <c r="G122" s="41"/>
      <c r="H122" s="45"/>
      <c r="I122" s="43"/>
      <c r="J122" s="44"/>
      <c r="K122" s="41"/>
    </row>
    <row r="123" ht="15.75" customHeight="1">
      <c r="A123" s="35"/>
      <c r="B123" s="41"/>
      <c r="C123" s="41"/>
      <c r="D123" s="41"/>
      <c r="E123" s="46"/>
      <c r="F123" s="41"/>
      <c r="G123" s="41"/>
      <c r="H123" s="45"/>
      <c r="I123" s="43"/>
      <c r="J123" s="44"/>
      <c r="K123" s="41"/>
    </row>
    <row r="124" ht="15.75" customHeight="1">
      <c r="A124" s="35"/>
      <c r="B124" s="41"/>
      <c r="C124" s="41"/>
      <c r="D124" s="41"/>
      <c r="E124" s="46"/>
      <c r="F124" s="41"/>
      <c r="G124" s="41"/>
      <c r="H124" s="45"/>
      <c r="I124" s="43"/>
      <c r="J124" s="44"/>
      <c r="K124" s="41"/>
    </row>
    <row r="125" ht="15.75" customHeight="1">
      <c r="A125" s="35"/>
      <c r="B125" s="41"/>
      <c r="C125" s="41"/>
      <c r="D125" s="41"/>
      <c r="E125" s="46"/>
      <c r="F125" s="41"/>
      <c r="G125" s="41"/>
      <c r="H125" s="45"/>
      <c r="I125" s="43"/>
      <c r="J125" s="44"/>
      <c r="K125" s="41"/>
    </row>
    <row r="126" ht="15.75" customHeight="1">
      <c r="A126" s="35"/>
      <c r="B126" s="41"/>
      <c r="C126" s="41"/>
      <c r="D126" s="41"/>
      <c r="E126" s="46"/>
      <c r="F126" s="41"/>
      <c r="G126" s="41"/>
      <c r="H126" s="45"/>
      <c r="I126" s="43"/>
      <c r="J126" s="44"/>
      <c r="K126" s="41"/>
    </row>
    <row r="127" ht="15.75" customHeight="1">
      <c r="A127" s="35"/>
      <c r="B127" s="41"/>
      <c r="C127" s="41"/>
      <c r="D127" s="41"/>
      <c r="E127" s="46"/>
      <c r="F127" s="41"/>
      <c r="G127" s="41"/>
      <c r="H127" s="45"/>
      <c r="I127" s="43"/>
      <c r="J127" s="44"/>
      <c r="K127" s="41"/>
    </row>
    <row r="128" ht="15.75" customHeight="1">
      <c r="A128" s="35"/>
      <c r="B128" s="41"/>
      <c r="C128" s="41"/>
      <c r="D128" s="41"/>
      <c r="E128" s="46"/>
      <c r="F128" s="41"/>
      <c r="G128" s="41"/>
      <c r="H128" s="45"/>
      <c r="I128" s="43"/>
      <c r="J128" s="44"/>
      <c r="K128" s="41"/>
    </row>
    <row r="129" ht="15.75" customHeight="1">
      <c r="A129" s="35"/>
      <c r="B129" s="41"/>
      <c r="C129" s="41"/>
      <c r="D129" s="41"/>
      <c r="E129" s="46"/>
      <c r="F129" s="41"/>
      <c r="G129" s="41"/>
      <c r="H129" s="45"/>
      <c r="I129" s="43"/>
      <c r="J129" s="44"/>
      <c r="K129" s="41"/>
    </row>
    <row r="130" ht="15.75" customHeight="1">
      <c r="A130" s="35"/>
      <c r="B130" s="41"/>
      <c r="C130" s="41"/>
      <c r="D130" s="41"/>
      <c r="E130" s="46"/>
      <c r="F130" s="41"/>
      <c r="G130" s="41"/>
      <c r="H130" s="45"/>
      <c r="I130" s="43"/>
      <c r="J130" s="44"/>
      <c r="K130" s="41"/>
    </row>
    <row r="131" ht="15.75" customHeight="1">
      <c r="A131" s="35"/>
      <c r="B131" s="41"/>
      <c r="C131" s="41"/>
      <c r="D131" s="41"/>
      <c r="E131" s="46"/>
      <c r="F131" s="41"/>
      <c r="G131" s="41"/>
      <c r="H131" s="45"/>
      <c r="I131" s="43"/>
      <c r="J131" s="44"/>
      <c r="K131" s="41"/>
    </row>
    <row r="132" ht="15.75" customHeight="1">
      <c r="A132" s="35"/>
      <c r="B132" s="41"/>
      <c r="C132" s="41"/>
      <c r="D132" s="41"/>
      <c r="E132" s="46"/>
      <c r="F132" s="41"/>
      <c r="G132" s="41"/>
      <c r="H132" s="45"/>
      <c r="I132" s="43"/>
      <c r="J132" s="44"/>
      <c r="K132" s="41"/>
    </row>
    <row r="133" ht="15.75" customHeight="1">
      <c r="A133" s="35"/>
      <c r="B133" s="41"/>
      <c r="C133" s="41"/>
      <c r="D133" s="41"/>
      <c r="E133" s="46"/>
      <c r="F133" s="41"/>
      <c r="G133" s="41"/>
      <c r="H133" s="45"/>
      <c r="I133" s="43"/>
      <c r="J133" s="44"/>
      <c r="K133" s="41"/>
    </row>
    <row r="134" ht="15.75" customHeight="1">
      <c r="A134" s="35"/>
      <c r="B134" s="41"/>
      <c r="C134" s="41"/>
      <c r="D134" s="41"/>
      <c r="E134" s="46"/>
      <c r="F134" s="41"/>
      <c r="G134" s="41"/>
      <c r="H134" s="45"/>
      <c r="I134" s="43"/>
      <c r="J134" s="44"/>
      <c r="K134" s="41"/>
    </row>
    <row r="135" ht="15.75" customHeight="1">
      <c r="A135" s="35"/>
      <c r="B135" s="41"/>
      <c r="C135" s="41"/>
      <c r="D135" s="41"/>
      <c r="E135" s="46"/>
      <c r="F135" s="41"/>
      <c r="G135" s="41"/>
      <c r="H135" s="45"/>
      <c r="I135" s="43"/>
      <c r="J135" s="44"/>
      <c r="K135" s="41"/>
    </row>
    <row r="136" ht="15.75" customHeight="1">
      <c r="A136" s="35"/>
      <c r="B136" s="41"/>
      <c r="C136" s="41"/>
      <c r="D136" s="41"/>
      <c r="E136" s="46"/>
      <c r="F136" s="41"/>
      <c r="G136" s="41"/>
      <c r="H136" s="45"/>
      <c r="I136" s="43"/>
      <c r="J136" s="44"/>
      <c r="K136" s="41"/>
    </row>
    <row r="137" ht="15.75" customHeight="1">
      <c r="A137" s="35"/>
      <c r="B137" s="41"/>
      <c r="C137" s="41"/>
      <c r="D137" s="41"/>
      <c r="E137" s="46"/>
      <c r="F137" s="41"/>
      <c r="G137" s="41"/>
      <c r="H137" s="45"/>
      <c r="I137" s="43"/>
      <c r="J137" s="44"/>
      <c r="K137" s="41"/>
    </row>
    <row r="138" ht="15.75" customHeight="1">
      <c r="A138" s="35"/>
      <c r="B138" s="41"/>
      <c r="C138" s="41"/>
      <c r="D138" s="41"/>
      <c r="E138" s="46"/>
      <c r="F138" s="41"/>
      <c r="G138" s="41"/>
      <c r="H138" s="45"/>
      <c r="I138" s="43"/>
      <c r="J138" s="44"/>
      <c r="K138" s="41"/>
    </row>
    <row r="139" ht="15.75" customHeight="1">
      <c r="A139" s="35"/>
      <c r="B139" s="41"/>
      <c r="C139" s="41"/>
      <c r="D139" s="41"/>
      <c r="E139" s="46"/>
      <c r="F139" s="41"/>
      <c r="G139" s="41"/>
      <c r="H139" s="45"/>
      <c r="I139" s="43"/>
      <c r="J139" s="44"/>
      <c r="K139" s="41"/>
    </row>
    <row r="140" ht="15.75" customHeight="1">
      <c r="A140" s="35"/>
      <c r="B140" s="41"/>
      <c r="C140" s="41"/>
      <c r="D140" s="41"/>
      <c r="E140" s="46"/>
      <c r="F140" s="41"/>
      <c r="G140" s="41"/>
      <c r="H140" s="45"/>
      <c r="I140" s="43"/>
      <c r="J140" s="44"/>
      <c r="K140" s="41"/>
    </row>
    <row r="141" ht="15.75" customHeight="1">
      <c r="A141" s="35"/>
      <c r="B141" s="41"/>
      <c r="C141" s="41"/>
      <c r="D141" s="41"/>
      <c r="E141" s="46"/>
      <c r="F141" s="41"/>
      <c r="G141" s="41"/>
      <c r="H141" s="45"/>
      <c r="I141" s="43"/>
      <c r="J141" s="44"/>
      <c r="K141" s="41"/>
    </row>
    <row r="142" ht="15.75" customHeight="1">
      <c r="A142" s="35"/>
      <c r="B142" s="41"/>
      <c r="C142" s="41"/>
      <c r="D142" s="41"/>
      <c r="E142" s="46"/>
      <c r="F142" s="41"/>
      <c r="G142" s="41"/>
      <c r="H142" s="45"/>
      <c r="I142" s="43"/>
      <c r="J142" s="44"/>
      <c r="K142" s="41"/>
    </row>
    <row r="143" ht="15.75" customHeight="1">
      <c r="A143" s="35"/>
      <c r="B143" s="41"/>
      <c r="C143" s="41"/>
      <c r="D143" s="41"/>
      <c r="E143" s="46"/>
      <c r="F143" s="41"/>
      <c r="G143" s="41"/>
      <c r="H143" s="45"/>
      <c r="I143" s="43"/>
      <c r="J143" s="44"/>
      <c r="K143" s="41"/>
    </row>
    <row r="144" ht="15.75" customHeight="1">
      <c r="A144" s="35"/>
      <c r="B144" s="41"/>
      <c r="C144" s="41"/>
      <c r="D144" s="41"/>
      <c r="E144" s="46"/>
      <c r="F144" s="41"/>
      <c r="G144" s="41"/>
      <c r="H144" s="45"/>
      <c r="I144" s="43"/>
      <c r="J144" s="44"/>
      <c r="K144" s="41"/>
    </row>
    <row r="145" ht="15.75" customHeight="1">
      <c r="A145" s="35"/>
      <c r="B145" s="41"/>
      <c r="C145" s="41"/>
      <c r="D145" s="41"/>
      <c r="E145" s="46"/>
      <c r="F145" s="41"/>
      <c r="G145" s="41"/>
      <c r="H145" s="45"/>
      <c r="I145" s="43"/>
      <c r="J145" s="44"/>
      <c r="K145" s="41"/>
    </row>
    <row r="146" ht="15.75" customHeight="1">
      <c r="A146" s="35"/>
      <c r="B146" s="41"/>
      <c r="C146" s="41"/>
      <c r="D146" s="41"/>
      <c r="E146" s="46"/>
      <c r="F146" s="41"/>
      <c r="G146" s="41"/>
      <c r="H146" s="45"/>
      <c r="I146" s="43"/>
      <c r="J146" s="44"/>
      <c r="K146" s="41"/>
    </row>
    <row r="147" ht="15.75" customHeight="1">
      <c r="A147" s="35"/>
      <c r="B147" s="41"/>
      <c r="C147" s="41"/>
      <c r="D147" s="41"/>
      <c r="E147" s="46"/>
      <c r="F147" s="41"/>
      <c r="G147" s="41"/>
      <c r="H147" s="45"/>
      <c r="I147" s="43"/>
      <c r="J147" s="44"/>
      <c r="K147" s="41"/>
    </row>
    <row r="148" ht="15.75" customHeight="1">
      <c r="A148" s="35"/>
      <c r="B148" s="41"/>
      <c r="C148" s="41"/>
      <c r="D148" s="41"/>
      <c r="E148" s="46"/>
      <c r="F148" s="41"/>
      <c r="G148" s="41"/>
      <c r="H148" s="45"/>
      <c r="I148" s="43"/>
      <c r="J148" s="44"/>
      <c r="K148" s="41"/>
    </row>
    <row r="149" ht="15.75" customHeight="1">
      <c r="A149" s="35"/>
      <c r="B149" s="41"/>
      <c r="C149" s="41"/>
      <c r="D149" s="41"/>
      <c r="E149" s="46"/>
      <c r="F149" s="41"/>
      <c r="G149" s="41"/>
      <c r="H149" s="45"/>
      <c r="I149" s="43"/>
      <c r="J149" s="44"/>
      <c r="K149" s="41"/>
    </row>
    <row r="150" ht="15.75" customHeight="1">
      <c r="A150" s="35"/>
      <c r="B150" s="41"/>
      <c r="C150" s="41"/>
      <c r="D150" s="41"/>
      <c r="E150" s="46"/>
      <c r="F150" s="41"/>
      <c r="G150" s="41"/>
      <c r="H150" s="45"/>
      <c r="I150" s="43"/>
      <c r="J150" s="44"/>
      <c r="K150" s="41"/>
    </row>
    <row r="151" ht="15.75" customHeight="1">
      <c r="A151" s="35"/>
      <c r="B151" s="41"/>
      <c r="C151" s="41"/>
      <c r="D151" s="41"/>
      <c r="E151" s="46"/>
      <c r="F151" s="41"/>
      <c r="G151" s="41"/>
      <c r="H151" s="45"/>
      <c r="I151" s="43"/>
      <c r="J151" s="44"/>
      <c r="K151" s="41"/>
    </row>
    <row r="152" ht="15.75" customHeight="1">
      <c r="A152" s="35"/>
      <c r="B152" s="41"/>
      <c r="C152" s="41"/>
      <c r="D152" s="41"/>
      <c r="E152" s="46"/>
      <c r="F152" s="41"/>
      <c r="G152" s="41"/>
      <c r="H152" s="45"/>
      <c r="I152" s="43"/>
      <c r="J152" s="44"/>
      <c r="K152" s="41"/>
    </row>
    <row r="153" ht="15.75" customHeight="1">
      <c r="A153" s="35"/>
      <c r="B153" s="41"/>
      <c r="C153" s="41"/>
      <c r="D153" s="41"/>
      <c r="E153" s="46"/>
      <c r="F153" s="41"/>
      <c r="G153" s="41"/>
      <c r="H153" s="45"/>
      <c r="I153" s="43"/>
      <c r="J153" s="44"/>
      <c r="K153" s="41"/>
    </row>
    <row r="154" ht="15.75" customHeight="1">
      <c r="A154" s="35"/>
      <c r="B154" s="41"/>
      <c r="C154" s="41"/>
      <c r="D154" s="41"/>
      <c r="E154" s="46"/>
      <c r="F154" s="41"/>
      <c r="G154" s="41"/>
      <c r="H154" s="45"/>
      <c r="I154" s="43"/>
      <c r="J154" s="44"/>
      <c r="K154" s="41"/>
    </row>
    <row r="155" ht="15.75" customHeight="1">
      <c r="A155" s="35"/>
      <c r="B155" s="41"/>
      <c r="C155" s="41"/>
      <c r="D155" s="41"/>
      <c r="E155" s="46"/>
      <c r="F155" s="41"/>
      <c r="G155" s="41"/>
      <c r="H155" s="45"/>
      <c r="I155" s="43"/>
      <c r="J155" s="44"/>
      <c r="K155" s="41"/>
    </row>
    <row r="156" ht="15.75" customHeight="1">
      <c r="A156" s="35"/>
      <c r="B156" s="41"/>
      <c r="C156" s="41"/>
      <c r="D156" s="41"/>
      <c r="E156" s="46"/>
      <c r="F156" s="41"/>
      <c r="G156" s="41"/>
      <c r="H156" s="45"/>
      <c r="I156" s="43"/>
      <c r="J156" s="44"/>
      <c r="K156" s="41"/>
    </row>
    <row r="157" ht="15.75" customHeight="1">
      <c r="A157" s="35"/>
      <c r="B157" s="41"/>
      <c r="C157" s="41"/>
      <c r="D157" s="41"/>
      <c r="E157" s="46"/>
      <c r="F157" s="41"/>
      <c r="G157" s="41"/>
      <c r="H157" s="45"/>
      <c r="I157" s="43"/>
      <c r="J157" s="44"/>
      <c r="K157" s="41"/>
    </row>
    <row r="158" ht="15.75" customHeight="1">
      <c r="A158" s="35"/>
      <c r="B158" s="41"/>
      <c r="C158" s="41"/>
      <c r="D158" s="41"/>
      <c r="E158" s="46"/>
      <c r="F158" s="41"/>
      <c r="G158" s="41"/>
      <c r="H158" s="45"/>
      <c r="I158" s="43"/>
      <c r="J158" s="44"/>
      <c r="K158" s="41"/>
    </row>
    <row r="159" ht="15.75" customHeight="1">
      <c r="A159" s="41"/>
      <c r="B159" s="41"/>
      <c r="C159" s="41"/>
      <c r="D159" s="41"/>
      <c r="E159" s="46"/>
      <c r="F159" s="41"/>
      <c r="G159" s="41"/>
      <c r="H159" s="45"/>
      <c r="I159" s="43"/>
      <c r="J159" s="44"/>
      <c r="K159" s="41"/>
    </row>
  </sheetData>
  <mergeCells count="1">
    <mergeCell ref="A1:K1"/>
  </mergeCells>
  <conditionalFormatting sqref="E4:E159">
    <cfRule type="cellIs" dxfId="4" priority="1" operator="lessThan">
      <formula>0</formula>
    </cfRule>
  </conditionalFormatting>
  <dataValidations>
    <dataValidation type="list" allowBlank="1" sqref="G4:G159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14.0"/>
    <col customWidth="1" min="4" max="4" width="24.0"/>
    <col customWidth="1" min="5" max="5" width="18.0"/>
    <col customWidth="1" min="6" max="6" width="12.0"/>
    <col customWidth="1" min="7" max="8" width="18.0"/>
    <col customWidth="1" min="9" max="9" width="14.0"/>
    <col customWidth="1" min="10" max="10" width="22.0"/>
    <col customWidth="1" min="11" max="11" width="36.0"/>
    <col customWidth="1" min="12" max="12" width="22.0"/>
  </cols>
  <sheetData>
    <row r="1" ht="30.0" customHeight="1">
      <c r="A1" s="1" t="s">
        <v>332</v>
      </c>
    </row>
    <row r="2">
      <c r="F2" s="47"/>
      <c r="G2" s="47"/>
      <c r="H2" s="47"/>
    </row>
    <row r="3">
      <c r="A3" s="33" t="s">
        <v>62</v>
      </c>
      <c r="B3" s="33" t="s">
        <v>38</v>
      </c>
      <c r="C3" s="33" t="s">
        <v>63</v>
      </c>
      <c r="D3" s="33" t="s">
        <v>64</v>
      </c>
      <c r="E3" s="33" t="s">
        <v>158</v>
      </c>
      <c r="F3" s="48" t="s">
        <v>161</v>
      </c>
      <c r="G3" s="48" t="s">
        <v>333</v>
      </c>
      <c r="H3" s="48" t="s">
        <v>334</v>
      </c>
      <c r="I3" s="33" t="s">
        <v>67</v>
      </c>
      <c r="J3" s="33" t="s">
        <v>68</v>
      </c>
      <c r="K3" s="33" t="s">
        <v>71</v>
      </c>
      <c r="L3" s="33" t="s">
        <v>41</v>
      </c>
    </row>
    <row r="4">
      <c r="A4" s="49">
        <v>46163.34710648148</v>
      </c>
      <c r="B4" s="40">
        <v>46163.0</v>
      </c>
      <c r="C4" s="35" t="s">
        <v>97</v>
      </c>
      <c r="D4" s="35" t="s">
        <v>98</v>
      </c>
      <c r="E4" s="35" t="s">
        <v>167</v>
      </c>
      <c r="F4" s="50">
        <v>10.0</v>
      </c>
      <c r="G4" s="50">
        <v>0.0</v>
      </c>
      <c r="H4" s="50">
        <v>10.0</v>
      </c>
      <c r="I4" s="41"/>
      <c r="J4" s="41"/>
      <c r="K4" s="35" t="s">
        <v>335</v>
      </c>
      <c r="L4" s="35" t="s">
        <v>336</v>
      </c>
    </row>
    <row r="5">
      <c r="A5" s="49">
        <v>46163.34847222222</v>
      </c>
      <c r="B5" s="40">
        <v>46163.0</v>
      </c>
      <c r="C5" s="35" t="s">
        <v>249</v>
      </c>
      <c r="D5" s="35" t="s">
        <v>250</v>
      </c>
      <c r="E5" s="35" t="s">
        <v>167</v>
      </c>
      <c r="F5" s="50">
        <v>10.0</v>
      </c>
      <c r="G5" s="50">
        <v>0.0</v>
      </c>
      <c r="H5" s="50">
        <v>10.0</v>
      </c>
      <c r="I5" s="41"/>
      <c r="J5" s="41"/>
      <c r="K5" s="35" t="s">
        <v>335</v>
      </c>
      <c r="L5" s="35" t="s">
        <v>336</v>
      </c>
    </row>
    <row r="6">
      <c r="A6" s="49">
        <v>46164.34847222222</v>
      </c>
      <c r="B6" s="40">
        <v>46164.0</v>
      </c>
      <c r="C6" s="35" t="s">
        <v>247</v>
      </c>
      <c r="D6" s="35" t="s">
        <v>337</v>
      </c>
      <c r="E6" s="35" t="s">
        <v>167</v>
      </c>
      <c r="F6" s="50">
        <v>10.0</v>
      </c>
      <c r="G6" s="50">
        <v>0.0</v>
      </c>
      <c r="H6" s="50">
        <v>10.0</v>
      </c>
      <c r="I6" s="41"/>
      <c r="J6" s="41"/>
      <c r="K6" s="35" t="s">
        <v>335</v>
      </c>
      <c r="L6" s="35" t="s">
        <v>336</v>
      </c>
    </row>
    <row r="7">
      <c r="A7" s="49">
        <v>46163.34946759259</v>
      </c>
      <c r="B7" s="40">
        <v>46163.0</v>
      </c>
      <c r="C7" s="35" t="s">
        <v>243</v>
      </c>
      <c r="D7" s="35" t="s">
        <v>244</v>
      </c>
      <c r="E7" s="35" t="s">
        <v>167</v>
      </c>
      <c r="F7" s="50">
        <v>10.0</v>
      </c>
      <c r="G7" s="50">
        <v>0.0</v>
      </c>
      <c r="H7" s="50">
        <v>10.0</v>
      </c>
      <c r="I7" s="41"/>
      <c r="J7" s="41"/>
      <c r="K7" s="35" t="s">
        <v>335</v>
      </c>
      <c r="L7" s="35" t="s">
        <v>336</v>
      </c>
    </row>
    <row r="8">
      <c r="A8" s="49">
        <v>46163.35591435185</v>
      </c>
      <c r="B8" s="40">
        <v>46163.0</v>
      </c>
      <c r="C8" s="35" t="s">
        <v>103</v>
      </c>
      <c r="D8" s="35" t="s">
        <v>104</v>
      </c>
      <c r="E8" s="35" t="s">
        <v>167</v>
      </c>
      <c r="F8" s="50">
        <v>10.0</v>
      </c>
      <c r="G8" s="50">
        <v>0.0</v>
      </c>
      <c r="H8" s="50">
        <v>10.0</v>
      </c>
      <c r="I8" s="41"/>
      <c r="J8" s="41"/>
      <c r="K8" s="35" t="s">
        <v>335</v>
      </c>
      <c r="L8" s="35" t="s">
        <v>336</v>
      </c>
    </row>
    <row r="9">
      <c r="A9" s="49">
        <v>46163.356261574074</v>
      </c>
      <c r="B9" s="40">
        <v>46163.0</v>
      </c>
      <c r="C9" s="35" t="s">
        <v>240</v>
      </c>
      <c r="D9" s="35" t="s">
        <v>241</v>
      </c>
      <c r="E9" s="35" t="s">
        <v>167</v>
      </c>
      <c r="F9" s="50">
        <v>10.0</v>
      </c>
      <c r="G9" s="50">
        <v>0.0</v>
      </c>
      <c r="H9" s="50">
        <v>10.0</v>
      </c>
      <c r="I9" s="41"/>
      <c r="J9" s="41"/>
      <c r="K9" s="35" t="s">
        <v>335</v>
      </c>
      <c r="L9" s="35" t="s">
        <v>336</v>
      </c>
    </row>
    <row r="10">
      <c r="A10" s="49">
        <v>46164.356261574074</v>
      </c>
      <c r="B10" s="40">
        <v>46164.0</v>
      </c>
      <c r="C10" s="35" t="s">
        <v>92</v>
      </c>
      <c r="D10" s="35" t="s">
        <v>93</v>
      </c>
      <c r="E10" s="35" t="s">
        <v>167</v>
      </c>
      <c r="F10" s="50">
        <v>10.0</v>
      </c>
      <c r="G10" s="50">
        <v>0.0</v>
      </c>
      <c r="H10" s="50">
        <v>10.0</v>
      </c>
      <c r="I10" s="41"/>
      <c r="J10" s="41"/>
      <c r="K10" s="35" t="s">
        <v>335</v>
      </c>
      <c r="L10" s="35" t="s">
        <v>336</v>
      </c>
    </row>
    <row r="11">
      <c r="A11" s="49">
        <v>46163.36684027778</v>
      </c>
      <c r="B11" s="40">
        <v>46163.0</v>
      </c>
      <c r="C11" s="35" t="s">
        <v>255</v>
      </c>
      <c r="D11" s="35" t="s">
        <v>256</v>
      </c>
      <c r="E11" s="35" t="s">
        <v>168</v>
      </c>
      <c r="F11" s="50">
        <v>10.0</v>
      </c>
      <c r="G11" s="50">
        <v>0.0</v>
      </c>
      <c r="H11" s="50">
        <v>0.0</v>
      </c>
      <c r="I11" s="41"/>
      <c r="J11" s="41"/>
      <c r="K11" s="35" t="s">
        <v>338</v>
      </c>
      <c r="L11" s="35" t="s">
        <v>339</v>
      </c>
    </row>
    <row r="12">
      <c r="A12" s="49">
        <v>46164.36684027778</v>
      </c>
      <c r="B12" s="40">
        <v>46164.0</v>
      </c>
      <c r="C12" s="35" t="s">
        <v>253</v>
      </c>
      <c r="D12" s="35" t="s">
        <v>254</v>
      </c>
      <c r="E12" s="35" t="s">
        <v>168</v>
      </c>
      <c r="F12" s="50">
        <v>10.0</v>
      </c>
      <c r="G12" s="50">
        <v>0.0</v>
      </c>
      <c r="H12" s="50">
        <v>0.0</v>
      </c>
      <c r="I12" s="41"/>
      <c r="J12" s="41"/>
      <c r="K12" s="35" t="s">
        <v>338</v>
      </c>
      <c r="L12" s="35" t="s">
        <v>339</v>
      </c>
    </row>
    <row r="13">
      <c r="A13" s="49">
        <v>46163.465162037035</v>
      </c>
      <c r="B13" s="40">
        <v>46163.0</v>
      </c>
      <c r="C13" s="35" t="s">
        <v>255</v>
      </c>
      <c r="D13" s="35" t="s">
        <v>256</v>
      </c>
      <c r="E13" s="35" t="s">
        <v>162</v>
      </c>
      <c r="F13" s="50">
        <v>20.0</v>
      </c>
      <c r="G13" s="50">
        <v>0.0</v>
      </c>
      <c r="H13" s="50">
        <v>20.0</v>
      </c>
      <c r="I13" s="41"/>
      <c r="J13" s="41"/>
      <c r="K13" s="41"/>
      <c r="L13" s="35" t="s">
        <v>336</v>
      </c>
    </row>
    <row r="14">
      <c r="A14" s="49">
        <v>46163.46760416667</v>
      </c>
      <c r="B14" s="40">
        <v>46163.0</v>
      </c>
      <c r="C14" s="35" t="s">
        <v>92</v>
      </c>
      <c r="D14" s="35" t="s">
        <v>93</v>
      </c>
      <c r="E14" s="35" t="s">
        <v>162</v>
      </c>
      <c r="F14" s="50">
        <v>20.0</v>
      </c>
      <c r="G14" s="50">
        <v>10.0</v>
      </c>
      <c r="H14" s="50">
        <v>30.0</v>
      </c>
      <c r="I14" s="41"/>
      <c r="J14" s="41"/>
      <c r="K14" s="41"/>
      <c r="L14" s="35" t="s">
        <v>336</v>
      </c>
    </row>
    <row r="15">
      <c r="A15" s="49">
        <v>46163.469618055555</v>
      </c>
      <c r="B15" s="40">
        <v>46163.0</v>
      </c>
      <c r="C15" s="35" t="s">
        <v>103</v>
      </c>
      <c r="D15" s="35" t="s">
        <v>104</v>
      </c>
      <c r="E15" s="35" t="s">
        <v>162</v>
      </c>
      <c r="F15" s="50">
        <v>20.0</v>
      </c>
      <c r="G15" s="50">
        <v>10.0</v>
      </c>
      <c r="H15" s="50">
        <v>30.0</v>
      </c>
      <c r="I15" s="41"/>
      <c r="J15" s="41"/>
      <c r="K15" s="41"/>
      <c r="L15" s="35" t="s">
        <v>336</v>
      </c>
    </row>
    <row r="16">
      <c r="A16" s="49">
        <v>46163.472037037034</v>
      </c>
      <c r="B16" s="40">
        <v>46163.0</v>
      </c>
      <c r="C16" s="35" t="s">
        <v>249</v>
      </c>
      <c r="D16" s="35" t="s">
        <v>250</v>
      </c>
      <c r="E16" s="35" t="s">
        <v>162</v>
      </c>
      <c r="F16" s="50">
        <v>20.0</v>
      </c>
      <c r="G16" s="50">
        <v>10.0</v>
      </c>
      <c r="H16" s="50">
        <v>30.0</v>
      </c>
      <c r="I16" s="41"/>
      <c r="J16" s="41"/>
      <c r="K16" s="41"/>
      <c r="L16" s="35" t="s">
        <v>336</v>
      </c>
    </row>
    <row r="17">
      <c r="A17" s="49">
        <v>46163.474490740744</v>
      </c>
      <c r="B17" s="40">
        <v>46163.0</v>
      </c>
      <c r="C17" s="35" t="s">
        <v>243</v>
      </c>
      <c r="D17" s="35" t="s">
        <v>244</v>
      </c>
      <c r="E17" s="35" t="s">
        <v>162</v>
      </c>
      <c r="F17" s="50">
        <v>20.0</v>
      </c>
      <c r="G17" s="50">
        <v>10.0</v>
      </c>
      <c r="H17" s="50">
        <v>30.0</v>
      </c>
      <c r="I17" s="41"/>
      <c r="J17" s="41"/>
      <c r="K17" s="41"/>
      <c r="L17" s="35" t="s">
        <v>336</v>
      </c>
    </row>
    <row r="18" ht="15.75" customHeight="1">
      <c r="A18" s="49">
        <v>46163.47461805555</v>
      </c>
      <c r="B18" s="40">
        <v>46163.0</v>
      </c>
      <c r="C18" s="35" t="s">
        <v>253</v>
      </c>
      <c r="D18" s="35" t="s">
        <v>254</v>
      </c>
      <c r="E18" s="35" t="s">
        <v>162</v>
      </c>
      <c r="F18" s="50">
        <v>20.0</v>
      </c>
      <c r="G18" s="50">
        <v>0.0</v>
      </c>
      <c r="H18" s="50">
        <v>20.0</v>
      </c>
      <c r="I18" s="41"/>
      <c r="J18" s="41"/>
      <c r="K18" s="41"/>
      <c r="L18" s="35" t="s">
        <v>336</v>
      </c>
    </row>
    <row r="19" ht="15.75" customHeight="1">
      <c r="A19" s="49">
        <v>46164.34457175926</v>
      </c>
      <c r="B19" s="40">
        <v>46164.0</v>
      </c>
      <c r="C19" s="35" t="s">
        <v>97</v>
      </c>
      <c r="D19" s="35" t="s">
        <v>98</v>
      </c>
      <c r="E19" s="35" t="s">
        <v>167</v>
      </c>
      <c r="F19" s="50">
        <v>10.0</v>
      </c>
      <c r="G19" s="50">
        <v>10.0</v>
      </c>
      <c r="H19" s="50">
        <v>20.0</v>
      </c>
      <c r="I19" s="41"/>
      <c r="J19" s="41"/>
      <c r="K19" s="35" t="s">
        <v>335</v>
      </c>
      <c r="L19" s="35" t="s">
        <v>336</v>
      </c>
    </row>
    <row r="20">
      <c r="A20" s="49">
        <v>46164.353368055556</v>
      </c>
      <c r="B20" s="40">
        <v>46164.0</v>
      </c>
      <c r="C20" s="35" t="s">
        <v>243</v>
      </c>
      <c r="D20" s="35" t="s">
        <v>244</v>
      </c>
      <c r="E20" s="35" t="s">
        <v>167</v>
      </c>
      <c r="F20" s="50">
        <v>10.0</v>
      </c>
      <c r="G20" s="50">
        <v>30.0</v>
      </c>
      <c r="H20" s="50">
        <v>40.0</v>
      </c>
      <c r="I20" s="41"/>
      <c r="J20" s="41"/>
      <c r="K20" s="35" t="s">
        <v>335</v>
      </c>
      <c r="L20" s="35" t="s">
        <v>336</v>
      </c>
    </row>
    <row r="21">
      <c r="A21" s="49">
        <v>46164.35349537037</v>
      </c>
      <c r="B21" s="40">
        <v>46164.0</v>
      </c>
      <c r="C21" s="35" t="s">
        <v>247</v>
      </c>
      <c r="D21" s="35" t="s">
        <v>337</v>
      </c>
      <c r="E21" s="35" t="s">
        <v>167</v>
      </c>
      <c r="F21" s="50">
        <v>10.0</v>
      </c>
      <c r="G21" s="50">
        <v>10.0</v>
      </c>
      <c r="H21" s="50">
        <v>20.0</v>
      </c>
      <c r="I21" s="41"/>
      <c r="J21" s="41"/>
      <c r="K21" s="35" t="s">
        <v>335</v>
      </c>
      <c r="L21" s="35" t="s">
        <v>336</v>
      </c>
    </row>
    <row r="22">
      <c r="A22" s="49">
        <v>46164.353634259256</v>
      </c>
      <c r="B22" s="40">
        <v>46164.0</v>
      </c>
      <c r="C22" s="35" t="s">
        <v>249</v>
      </c>
      <c r="D22" s="35" t="s">
        <v>250</v>
      </c>
      <c r="E22" s="35" t="s">
        <v>167</v>
      </c>
      <c r="F22" s="50">
        <v>10.0</v>
      </c>
      <c r="G22" s="50">
        <v>30.0</v>
      </c>
      <c r="H22" s="50">
        <v>40.0</v>
      </c>
      <c r="I22" s="41"/>
      <c r="J22" s="41"/>
      <c r="K22" s="35" t="s">
        <v>335</v>
      </c>
      <c r="L22" s="35" t="s">
        <v>336</v>
      </c>
    </row>
    <row r="23">
      <c r="A23" s="49">
        <v>46164.354409722226</v>
      </c>
      <c r="B23" s="40">
        <v>46164.0</v>
      </c>
      <c r="C23" s="35" t="s">
        <v>92</v>
      </c>
      <c r="D23" s="35" t="s">
        <v>93</v>
      </c>
      <c r="E23" s="35" t="s">
        <v>167</v>
      </c>
      <c r="F23" s="50">
        <v>10.0</v>
      </c>
      <c r="G23" s="50">
        <v>30.0</v>
      </c>
      <c r="H23" s="50">
        <v>40.0</v>
      </c>
      <c r="I23" s="41"/>
      <c r="J23" s="41"/>
      <c r="K23" s="35" t="s">
        <v>335</v>
      </c>
      <c r="L23" s="35" t="s">
        <v>336</v>
      </c>
    </row>
    <row r="24">
      <c r="A24" s="49">
        <v>46164.35689814815</v>
      </c>
      <c r="B24" s="40">
        <v>46164.0</v>
      </c>
      <c r="C24" s="35" t="s">
        <v>240</v>
      </c>
      <c r="D24" s="35" t="s">
        <v>241</v>
      </c>
      <c r="E24" s="35" t="s">
        <v>167</v>
      </c>
      <c r="F24" s="50">
        <v>10.0</v>
      </c>
      <c r="G24" s="50">
        <v>10.0</v>
      </c>
      <c r="H24" s="50">
        <v>20.0</v>
      </c>
      <c r="I24" s="41"/>
      <c r="J24" s="41"/>
      <c r="K24" s="35" t="s">
        <v>335</v>
      </c>
      <c r="L24" s="35" t="s">
        <v>336</v>
      </c>
    </row>
    <row r="25">
      <c r="A25" s="49">
        <v>46164.357037037036</v>
      </c>
      <c r="B25" s="40">
        <v>46164.0</v>
      </c>
      <c r="C25" s="35" t="s">
        <v>103</v>
      </c>
      <c r="D25" s="35" t="s">
        <v>104</v>
      </c>
      <c r="E25" s="35" t="s">
        <v>167</v>
      </c>
      <c r="F25" s="50">
        <v>10.0</v>
      </c>
      <c r="G25" s="50">
        <v>30.0</v>
      </c>
      <c r="H25" s="50">
        <v>40.0</v>
      </c>
      <c r="I25" s="41"/>
      <c r="J25" s="41"/>
      <c r="K25" s="35" t="s">
        <v>335</v>
      </c>
      <c r="L25" s="35" t="s">
        <v>336</v>
      </c>
    </row>
    <row r="26">
      <c r="A26" s="49">
        <v>46164.35717592593</v>
      </c>
      <c r="B26" s="40">
        <v>46164.0</v>
      </c>
      <c r="C26" s="35" t="s">
        <v>255</v>
      </c>
      <c r="D26" s="35" t="s">
        <v>256</v>
      </c>
      <c r="E26" s="35" t="s">
        <v>167</v>
      </c>
      <c r="F26" s="50">
        <v>10.0</v>
      </c>
      <c r="G26" s="50">
        <v>20.0</v>
      </c>
      <c r="H26" s="50">
        <v>30.0</v>
      </c>
      <c r="I26" s="41"/>
      <c r="J26" s="41"/>
      <c r="K26" s="35" t="s">
        <v>335</v>
      </c>
      <c r="L26" s="35" t="s">
        <v>336</v>
      </c>
    </row>
    <row r="27">
      <c r="A27" s="49">
        <v>46164.35865740741</v>
      </c>
      <c r="B27" s="40">
        <v>46164.0</v>
      </c>
      <c r="C27" s="35" t="s">
        <v>247</v>
      </c>
      <c r="D27" s="35" t="s">
        <v>337</v>
      </c>
      <c r="E27" s="35" t="s">
        <v>162</v>
      </c>
      <c r="F27" s="50">
        <v>71.0</v>
      </c>
      <c r="G27" s="50">
        <v>20.0</v>
      </c>
      <c r="H27" s="50">
        <v>91.0</v>
      </c>
      <c r="I27" s="41"/>
      <c r="J27" s="41"/>
      <c r="K27" s="41"/>
      <c r="L27" s="35" t="s">
        <v>336</v>
      </c>
    </row>
    <row r="28">
      <c r="A28" s="49">
        <v>46164.359143518515</v>
      </c>
      <c r="B28" s="40">
        <v>46164.0</v>
      </c>
      <c r="C28" s="35" t="s">
        <v>249</v>
      </c>
      <c r="D28" s="35" t="s">
        <v>250</v>
      </c>
      <c r="E28" s="35" t="s">
        <v>162</v>
      </c>
      <c r="F28" s="50">
        <v>16.0</v>
      </c>
      <c r="G28" s="50">
        <v>40.0</v>
      </c>
      <c r="H28" s="50">
        <v>56.0</v>
      </c>
      <c r="I28" s="41"/>
      <c r="J28" s="41"/>
      <c r="K28" s="41"/>
      <c r="L28" s="35" t="s">
        <v>336</v>
      </c>
    </row>
    <row r="29">
      <c r="A29" s="49">
        <v>46168.33908564815</v>
      </c>
      <c r="B29" s="40">
        <v>46168.0</v>
      </c>
      <c r="C29" s="35" t="s">
        <v>243</v>
      </c>
      <c r="D29" s="35" t="s">
        <v>244</v>
      </c>
      <c r="E29" s="35" t="s">
        <v>167</v>
      </c>
      <c r="F29" s="50">
        <v>10.0</v>
      </c>
      <c r="G29" s="50">
        <v>40.0</v>
      </c>
      <c r="H29" s="50">
        <v>50.0</v>
      </c>
      <c r="I29" s="41"/>
      <c r="J29" s="41"/>
      <c r="K29" s="35" t="s">
        <v>335</v>
      </c>
      <c r="L29" s="35" t="s">
        <v>336</v>
      </c>
    </row>
    <row r="30">
      <c r="A30" s="49">
        <v>46168.350902777776</v>
      </c>
      <c r="B30" s="40">
        <v>46168.0</v>
      </c>
      <c r="C30" s="35" t="s">
        <v>97</v>
      </c>
      <c r="D30" s="35" t="s">
        <v>98</v>
      </c>
      <c r="E30" s="35" t="s">
        <v>167</v>
      </c>
      <c r="F30" s="50">
        <v>10.0</v>
      </c>
      <c r="G30" s="50">
        <v>20.0</v>
      </c>
      <c r="H30" s="50">
        <v>30.0</v>
      </c>
      <c r="I30" s="41"/>
      <c r="J30" s="41"/>
      <c r="K30" s="35" t="s">
        <v>335</v>
      </c>
      <c r="L30" s="35" t="s">
        <v>336</v>
      </c>
    </row>
    <row r="31">
      <c r="A31" s="49">
        <v>46168.351643518516</v>
      </c>
      <c r="B31" s="40">
        <v>46168.0</v>
      </c>
      <c r="C31" s="35" t="s">
        <v>247</v>
      </c>
      <c r="D31" s="35" t="s">
        <v>337</v>
      </c>
      <c r="E31" s="35" t="s">
        <v>167</v>
      </c>
      <c r="F31" s="50">
        <v>10.0</v>
      </c>
      <c r="G31" s="50">
        <v>91.0</v>
      </c>
      <c r="H31" s="50">
        <v>101.0</v>
      </c>
      <c r="I31" s="41"/>
      <c r="J31" s="41"/>
      <c r="K31" s="35" t="s">
        <v>335</v>
      </c>
      <c r="L31" s="35" t="s">
        <v>336</v>
      </c>
    </row>
    <row r="32">
      <c r="A32" s="49">
        <v>46168.35450231482</v>
      </c>
      <c r="B32" s="40">
        <v>46168.0</v>
      </c>
      <c r="C32" s="35" t="s">
        <v>92</v>
      </c>
      <c r="D32" s="35" t="s">
        <v>93</v>
      </c>
      <c r="E32" s="35" t="s">
        <v>167</v>
      </c>
      <c r="F32" s="50">
        <v>10.0</v>
      </c>
      <c r="G32" s="50">
        <v>40.0</v>
      </c>
      <c r="H32" s="50">
        <v>50.0</v>
      </c>
      <c r="I32" s="41"/>
      <c r="J32" s="41"/>
      <c r="K32" s="35" t="s">
        <v>335</v>
      </c>
      <c r="L32" s="35" t="s">
        <v>336</v>
      </c>
    </row>
    <row r="33">
      <c r="A33" s="49">
        <v>46168.3559375</v>
      </c>
      <c r="B33" s="40">
        <v>46168.0</v>
      </c>
      <c r="C33" s="35" t="s">
        <v>103</v>
      </c>
      <c r="D33" s="35" t="s">
        <v>104</v>
      </c>
      <c r="E33" s="35" t="s">
        <v>167</v>
      </c>
      <c r="F33" s="50">
        <v>10.0</v>
      </c>
      <c r="G33" s="50">
        <v>40.0</v>
      </c>
      <c r="H33" s="50">
        <v>50.0</v>
      </c>
      <c r="I33" s="41"/>
      <c r="J33" s="41"/>
      <c r="K33" s="35" t="s">
        <v>335</v>
      </c>
      <c r="L33" s="35" t="s">
        <v>336</v>
      </c>
    </row>
    <row r="34">
      <c r="A34" s="49">
        <v>46168.35628472222</v>
      </c>
      <c r="B34" s="40">
        <v>46168.0</v>
      </c>
      <c r="C34" s="35" t="s">
        <v>255</v>
      </c>
      <c r="D34" s="35" t="s">
        <v>256</v>
      </c>
      <c r="E34" s="35" t="s">
        <v>167</v>
      </c>
      <c r="F34" s="50">
        <v>10.0</v>
      </c>
      <c r="G34" s="50">
        <v>30.0</v>
      </c>
      <c r="H34" s="50">
        <v>40.0</v>
      </c>
      <c r="I34" s="41"/>
      <c r="J34" s="41"/>
      <c r="K34" s="35" t="s">
        <v>335</v>
      </c>
      <c r="L34" s="35" t="s">
        <v>336</v>
      </c>
    </row>
    <row r="35">
      <c r="A35" s="49">
        <v>46168.35869212963</v>
      </c>
      <c r="B35" s="40">
        <v>46168.0</v>
      </c>
      <c r="C35" s="35" t="s">
        <v>240</v>
      </c>
      <c r="D35" s="35" t="s">
        <v>241</v>
      </c>
      <c r="E35" s="35" t="s">
        <v>168</v>
      </c>
      <c r="F35" s="50">
        <v>10.0</v>
      </c>
      <c r="G35" s="50">
        <v>20.0</v>
      </c>
      <c r="H35" s="50">
        <v>10.0</v>
      </c>
      <c r="I35" s="41"/>
      <c r="J35" s="41"/>
      <c r="K35" s="35" t="s">
        <v>338</v>
      </c>
      <c r="L35" s="35" t="s">
        <v>336</v>
      </c>
    </row>
    <row r="36">
      <c r="A36" s="49">
        <v>46168.4943287037</v>
      </c>
      <c r="B36" s="40">
        <v>46168.0</v>
      </c>
      <c r="C36" s="35" t="s">
        <v>251</v>
      </c>
      <c r="D36" s="35" t="s">
        <v>252</v>
      </c>
      <c r="E36" s="35" t="s">
        <v>168</v>
      </c>
      <c r="F36" s="50">
        <v>10.0</v>
      </c>
      <c r="G36" s="50">
        <v>0.0</v>
      </c>
      <c r="H36" s="50">
        <v>0.0</v>
      </c>
      <c r="I36" s="41"/>
      <c r="J36" s="41"/>
      <c r="K36" s="35" t="s">
        <v>338</v>
      </c>
      <c r="L36" s="35" t="s">
        <v>339</v>
      </c>
    </row>
    <row r="37">
      <c r="A37" s="49">
        <v>46168.65008101852</v>
      </c>
      <c r="B37" s="40">
        <v>46168.0</v>
      </c>
      <c r="C37" s="35" t="s">
        <v>245</v>
      </c>
      <c r="D37" s="35" t="s">
        <v>246</v>
      </c>
      <c r="E37" s="35" t="s">
        <v>168</v>
      </c>
      <c r="F37" s="50">
        <v>10.0</v>
      </c>
      <c r="G37" s="50">
        <v>0.0</v>
      </c>
      <c r="H37" s="50">
        <v>0.0</v>
      </c>
      <c r="I37" s="41"/>
      <c r="J37" s="41"/>
      <c r="K37" s="35" t="s">
        <v>338</v>
      </c>
      <c r="L37" s="35" t="s">
        <v>339</v>
      </c>
    </row>
    <row r="38">
      <c r="A38" s="49">
        <v>46170.34722222222</v>
      </c>
      <c r="B38" s="40">
        <v>46170.0</v>
      </c>
      <c r="C38" s="35" t="s">
        <v>251</v>
      </c>
      <c r="D38" s="35" t="s">
        <v>252</v>
      </c>
      <c r="E38" s="35" t="s">
        <v>167</v>
      </c>
      <c r="F38" s="50">
        <v>10.0</v>
      </c>
      <c r="G38" s="50">
        <v>0.0</v>
      </c>
      <c r="H38" s="50">
        <v>10.0</v>
      </c>
      <c r="I38" s="41"/>
      <c r="J38" s="41"/>
      <c r="K38" s="35" t="s">
        <v>335</v>
      </c>
      <c r="L38" s="35" t="s">
        <v>336</v>
      </c>
    </row>
    <row r="39">
      <c r="A39" s="49">
        <v>46170.35013888889</v>
      </c>
      <c r="B39" s="40">
        <v>46170.0</v>
      </c>
      <c r="C39" s="35" t="s">
        <v>97</v>
      </c>
      <c r="D39" s="35" t="s">
        <v>98</v>
      </c>
      <c r="E39" s="35" t="s">
        <v>167</v>
      </c>
      <c r="F39" s="50">
        <v>10.0</v>
      </c>
      <c r="G39" s="50">
        <v>30.0</v>
      </c>
      <c r="H39" s="50">
        <v>40.0</v>
      </c>
      <c r="I39" s="41"/>
      <c r="J39" s="41"/>
      <c r="K39" s="35" t="s">
        <v>335</v>
      </c>
      <c r="L39" s="35" t="s">
        <v>336</v>
      </c>
    </row>
    <row r="40">
      <c r="A40" s="49">
        <v>46170.35196759259</v>
      </c>
      <c r="B40" s="40">
        <v>46170.0</v>
      </c>
      <c r="C40" s="35" t="s">
        <v>247</v>
      </c>
      <c r="D40" s="35" t="s">
        <v>337</v>
      </c>
      <c r="E40" s="35" t="s">
        <v>167</v>
      </c>
      <c r="F40" s="50">
        <v>10.0</v>
      </c>
      <c r="G40" s="50">
        <v>101.0</v>
      </c>
      <c r="H40" s="50">
        <v>111.0</v>
      </c>
      <c r="I40" s="41"/>
      <c r="J40" s="41"/>
      <c r="K40" s="35" t="s">
        <v>335</v>
      </c>
      <c r="L40" s="35" t="s">
        <v>336</v>
      </c>
    </row>
    <row r="41">
      <c r="A41" s="49">
        <v>46170.3521412037</v>
      </c>
      <c r="B41" s="40">
        <v>46170.0</v>
      </c>
      <c r="C41" s="35" t="s">
        <v>92</v>
      </c>
      <c r="D41" s="35" t="s">
        <v>93</v>
      </c>
      <c r="E41" s="35" t="s">
        <v>167</v>
      </c>
      <c r="F41" s="50">
        <v>10.0</v>
      </c>
      <c r="G41" s="50">
        <v>50.0</v>
      </c>
      <c r="H41" s="50">
        <v>60.0</v>
      </c>
      <c r="I41" s="41"/>
      <c r="J41" s="41"/>
      <c r="K41" s="35" t="s">
        <v>335</v>
      </c>
      <c r="L41" s="35" t="s">
        <v>336</v>
      </c>
    </row>
    <row r="42">
      <c r="A42" s="49">
        <v>46170.35230324074</v>
      </c>
      <c r="B42" s="40">
        <v>46170.0</v>
      </c>
      <c r="C42" s="35" t="s">
        <v>243</v>
      </c>
      <c r="D42" s="35" t="s">
        <v>244</v>
      </c>
      <c r="E42" s="35" t="s">
        <v>167</v>
      </c>
      <c r="F42" s="50">
        <v>10.0</v>
      </c>
      <c r="G42" s="50">
        <v>50.0</v>
      </c>
      <c r="H42" s="50">
        <v>60.0</v>
      </c>
      <c r="I42" s="41"/>
      <c r="J42" s="41"/>
      <c r="K42" s="35" t="s">
        <v>335</v>
      </c>
      <c r="L42" s="35" t="s">
        <v>336</v>
      </c>
    </row>
    <row r="43">
      <c r="A43" s="49">
        <v>46170.3540625</v>
      </c>
      <c r="B43" s="40">
        <v>46170.0</v>
      </c>
      <c r="C43" s="35" t="s">
        <v>249</v>
      </c>
      <c r="D43" s="35" t="s">
        <v>250</v>
      </c>
      <c r="E43" s="35" t="s">
        <v>167</v>
      </c>
      <c r="F43" s="50">
        <v>10.0</v>
      </c>
      <c r="G43" s="50">
        <v>56.0</v>
      </c>
      <c r="H43" s="50">
        <v>66.0</v>
      </c>
      <c r="I43" s="41"/>
      <c r="J43" s="41"/>
      <c r="K43" s="35" t="s">
        <v>335</v>
      </c>
      <c r="L43" s="35" t="s">
        <v>336</v>
      </c>
    </row>
    <row r="44">
      <c r="A44" s="49">
        <v>46170.35631944444</v>
      </c>
      <c r="B44" s="40">
        <v>46170.0</v>
      </c>
      <c r="C44" s="35" t="s">
        <v>240</v>
      </c>
      <c r="D44" s="35" t="s">
        <v>241</v>
      </c>
      <c r="E44" s="35" t="s">
        <v>167</v>
      </c>
      <c r="F44" s="50">
        <v>10.0</v>
      </c>
      <c r="G44" s="50">
        <v>10.0</v>
      </c>
      <c r="H44" s="50">
        <v>20.0</v>
      </c>
      <c r="I44" s="41"/>
      <c r="J44" s="41"/>
      <c r="K44" s="35" t="s">
        <v>335</v>
      </c>
      <c r="L44" s="35" t="s">
        <v>336</v>
      </c>
    </row>
    <row r="45">
      <c r="A45" s="49">
        <v>46170.357986111114</v>
      </c>
      <c r="B45" s="40">
        <v>46170.0</v>
      </c>
      <c r="C45" s="35" t="s">
        <v>255</v>
      </c>
      <c r="D45" s="35" t="s">
        <v>256</v>
      </c>
      <c r="E45" s="35" t="s">
        <v>167</v>
      </c>
      <c r="F45" s="50">
        <v>10.0</v>
      </c>
      <c r="G45" s="50">
        <v>40.0</v>
      </c>
      <c r="H45" s="50">
        <v>50.0</v>
      </c>
      <c r="I45" s="41"/>
      <c r="J45" s="41"/>
      <c r="K45" s="35" t="s">
        <v>335</v>
      </c>
      <c r="L45" s="35" t="s">
        <v>336</v>
      </c>
    </row>
    <row r="46">
      <c r="A46" s="49">
        <v>46170.37253472222</v>
      </c>
      <c r="B46" s="40">
        <v>46170.0</v>
      </c>
      <c r="C46" s="35" t="s">
        <v>253</v>
      </c>
      <c r="D46" s="35" t="s">
        <v>254</v>
      </c>
      <c r="E46" s="35" t="s">
        <v>168</v>
      </c>
      <c r="F46" s="50">
        <v>10.0</v>
      </c>
      <c r="G46" s="50">
        <v>20.0</v>
      </c>
      <c r="H46" s="50">
        <v>10.0</v>
      </c>
      <c r="I46" s="41"/>
      <c r="J46" s="41"/>
      <c r="K46" s="35" t="s">
        <v>338</v>
      </c>
      <c r="L46" s="35" t="s">
        <v>336</v>
      </c>
    </row>
    <row r="47">
      <c r="A47" s="49">
        <v>46170.37268518518</v>
      </c>
      <c r="B47" s="40">
        <v>46170.0</v>
      </c>
      <c r="C47" s="35" t="s">
        <v>245</v>
      </c>
      <c r="D47" s="35" t="s">
        <v>246</v>
      </c>
      <c r="E47" s="35" t="s">
        <v>168</v>
      </c>
      <c r="F47" s="50">
        <v>10.0</v>
      </c>
      <c r="G47" s="50">
        <v>0.0</v>
      </c>
      <c r="H47" s="50">
        <v>0.0</v>
      </c>
      <c r="I47" s="41"/>
      <c r="J47" s="41"/>
      <c r="K47" s="35" t="s">
        <v>338</v>
      </c>
      <c r="L47" s="35" t="s">
        <v>339</v>
      </c>
    </row>
    <row r="48">
      <c r="A48" s="49">
        <v>46174.347962962966</v>
      </c>
      <c r="B48" s="40">
        <v>46174.0</v>
      </c>
      <c r="C48" s="35" t="s">
        <v>251</v>
      </c>
      <c r="D48" s="35" t="s">
        <v>252</v>
      </c>
      <c r="E48" s="35" t="s">
        <v>167</v>
      </c>
      <c r="F48" s="50">
        <v>10.0</v>
      </c>
      <c r="G48" s="50">
        <v>10.0</v>
      </c>
      <c r="H48" s="50">
        <v>20.0</v>
      </c>
      <c r="I48" s="41"/>
      <c r="J48" s="41"/>
      <c r="K48" s="35" t="s">
        <v>335</v>
      </c>
      <c r="L48" s="35" t="s">
        <v>336</v>
      </c>
    </row>
    <row r="49">
      <c r="A49" s="49">
        <v>46174.34818287037</v>
      </c>
      <c r="B49" s="40">
        <v>46174.0</v>
      </c>
      <c r="C49" s="35" t="s">
        <v>97</v>
      </c>
      <c r="D49" s="35" t="s">
        <v>98</v>
      </c>
      <c r="E49" s="35" t="s">
        <v>167</v>
      </c>
      <c r="F49" s="50">
        <v>10.0</v>
      </c>
      <c r="G49" s="50">
        <v>40.0</v>
      </c>
      <c r="H49" s="50">
        <v>50.0</v>
      </c>
      <c r="I49" s="41"/>
      <c r="J49" s="41"/>
      <c r="K49" s="35" t="s">
        <v>335</v>
      </c>
      <c r="L49" s="35" t="s">
        <v>336</v>
      </c>
    </row>
    <row r="50">
      <c r="A50" s="49">
        <v>46174.348344907405</v>
      </c>
      <c r="B50" s="40">
        <v>46174.0</v>
      </c>
      <c r="C50" s="35" t="s">
        <v>243</v>
      </c>
      <c r="D50" s="35" t="s">
        <v>244</v>
      </c>
      <c r="E50" s="35" t="s">
        <v>167</v>
      </c>
      <c r="F50" s="50">
        <v>10.0</v>
      </c>
      <c r="G50" s="50">
        <v>60.0</v>
      </c>
      <c r="H50" s="50">
        <v>70.0</v>
      </c>
      <c r="I50" s="41"/>
      <c r="J50" s="41"/>
      <c r="K50" s="35" t="s">
        <v>335</v>
      </c>
      <c r="L50" s="35" t="s">
        <v>336</v>
      </c>
    </row>
    <row r="51">
      <c r="A51" s="49">
        <v>46174.34916666667</v>
      </c>
      <c r="B51" s="40">
        <v>46174.0</v>
      </c>
      <c r="C51" s="35" t="s">
        <v>247</v>
      </c>
      <c r="D51" s="35" t="s">
        <v>337</v>
      </c>
      <c r="E51" s="35" t="s">
        <v>167</v>
      </c>
      <c r="F51" s="50">
        <v>10.0</v>
      </c>
      <c r="G51" s="50">
        <v>111.0</v>
      </c>
      <c r="H51" s="50">
        <v>121.0</v>
      </c>
      <c r="I51" s="41"/>
      <c r="J51" s="41"/>
      <c r="K51" s="35" t="s">
        <v>335</v>
      </c>
      <c r="L51" s="35" t="s">
        <v>336</v>
      </c>
    </row>
    <row r="52">
      <c r="A52" s="49">
        <v>46174.35314814815</v>
      </c>
      <c r="B52" s="40">
        <v>46174.0</v>
      </c>
      <c r="C52" s="35" t="s">
        <v>249</v>
      </c>
      <c r="D52" s="35" t="s">
        <v>250</v>
      </c>
      <c r="E52" s="35" t="s">
        <v>167</v>
      </c>
      <c r="F52" s="50">
        <v>10.0</v>
      </c>
      <c r="G52" s="50">
        <v>66.0</v>
      </c>
      <c r="H52" s="50">
        <v>76.0</v>
      </c>
      <c r="I52" s="41"/>
      <c r="J52" s="41"/>
      <c r="K52" s="35" t="s">
        <v>335</v>
      </c>
      <c r="L52" s="35" t="s">
        <v>336</v>
      </c>
    </row>
    <row r="53">
      <c r="A53" s="49">
        <v>46174.35422453703</v>
      </c>
      <c r="B53" s="40">
        <v>46174.0</v>
      </c>
      <c r="C53" s="35" t="s">
        <v>240</v>
      </c>
      <c r="D53" s="35" t="s">
        <v>241</v>
      </c>
      <c r="E53" s="35" t="s">
        <v>167</v>
      </c>
      <c r="F53" s="50">
        <v>10.0</v>
      </c>
      <c r="G53" s="50">
        <v>20.0</v>
      </c>
      <c r="H53" s="50">
        <v>30.0</v>
      </c>
      <c r="I53" s="41"/>
      <c r="J53" s="41"/>
      <c r="K53" s="35" t="s">
        <v>335</v>
      </c>
      <c r="L53" s="35" t="s">
        <v>336</v>
      </c>
    </row>
    <row r="54">
      <c r="A54" s="49">
        <v>46174.35525462963</v>
      </c>
      <c r="B54" s="40">
        <v>46174.0</v>
      </c>
      <c r="C54" s="35" t="s">
        <v>92</v>
      </c>
      <c r="D54" s="35" t="s">
        <v>93</v>
      </c>
      <c r="E54" s="35" t="s">
        <v>167</v>
      </c>
      <c r="F54" s="50">
        <v>10.0</v>
      </c>
      <c r="G54" s="50">
        <v>60.0</v>
      </c>
      <c r="H54" s="50">
        <v>70.0</v>
      </c>
      <c r="I54" s="41"/>
      <c r="J54" s="41"/>
      <c r="K54" s="35" t="s">
        <v>335</v>
      </c>
      <c r="L54" s="35" t="s">
        <v>336</v>
      </c>
    </row>
    <row r="55">
      <c r="A55" s="49">
        <v>46174.365694444445</v>
      </c>
      <c r="B55" s="40">
        <v>46174.0</v>
      </c>
      <c r="C55" s="35" t="s">
        <v>103</v>
      </c>
      <c r="D55" s="35" t="s">
        <v>104</v>
      </c>
      <c r="E55" s="35" t="s">
        <v>168</v>
      </c>
      <c r="F55" s="50">
        <v>10.0</v>
      </c>
      <c r="G55" s="50">
        <v>50.0</v>
      </c>
      <c r="H55" s="50">
        <v>40.0</v>
      </c>
      <c r="I55" s="41"/>
      <c r="J55" s="41"/>
      <c r="K55" s="35" t="s">
        <v>338</v>
      </c>
      <c r="L55" s="35" t="s">
        <v>336</v>
      </c>
    </row>
    <row r="56">
      <c r="A56" s="49">
        <v>46174.36770833333</v>
      </c>
      <c r="B56" s="40">
        <v>46174.0</v>
      </c>
      <c r="C56" s="35" t="s">
        <v>255</v>
      </c>
      <c r="D56" s="35" t="s">
        <v>256</v>
      </c>
      <c r="E56" s="35" t="s">
        <v>168</v>
      </c>
      <c r="F56" s="50">
        <v>10.0</v>
      </c>
      <c r="G56" s="50">
        <v>50.0</v>
      </c>
      <c r="H56" s="50">
        <v>40.0</v>
      </c>
      <c r="I56" s="41"/>
      <c r="J56" s="41"/>
      <c r="K56" s="35" t="s">
        <v>338</v>
      </c>
      <c r="L56" s="35" t="s">
        <v>336</v>
      </c>
    </row>
    <row r="57">
      <c r="A57" s="49">
        <v>46174.36913194445</v>
      </c>
      <c r="B57" s="40">
        <v>46174.0</v>
      </c>
      <c r="C57" s="35" t="s">
        <v>245</v>
      </c>
      <c r="D57" s="35" t="s">
        <v>246</v>
      </c>
      <c r="E57" s="35" t="s">
        <v>168</v>
      </c>
      <c r="F57" s="50">
        <v>10.0</v>
      </c>
      <c r="G57" s="50">
        <v>0.0</v>
      </c>
      <c r="H57" s="50">
        <v>0.0</v>
      </c>
      <c r="I57" s="41"/>
      <c r="J57" s="41"/>
      <c r="K57" s="35" t="s">
        <v>338</v>
      </c>
      <c r="L57" s="35" t="s">
        <v>339</v>
      </c>
    </row>
    <row r="58">
      <c r="A58" s="49">
        <v>46174.375613425924</v>
      </c>
      <c r="B58" s="40">
        <v>46174.0</v>
      </c>
      <c r="C58" s="35" t="s">
        <v>253</v>
      </c>
      <c r="D58" s="35" t="s">
        <v>254</v>
      </c>
      <c r="E58" s="35" t="s">
        <v>168</v>
      </c>
      <c r="F58" s="50">
        <v>10.0</v>
      </c>
      <c r="G58" s="50">
        <v>10.0</v>
      </c>
      <c r="H58" s="50">
        <v>0.0</v>
      </c>
      <c r="I58" s="41"/>
      <c r="J58" s="41"/>
      <c r="K58" s="35" t="s">
        <v>338</v>
      </c>
      <c r="L58" s="35" t="s">
        <v>336</v>
      </c>
    </row>
    <row r="59">
      <c r="A59" s="49">
        <v>46175.34792824074</v>
      </c>
      <c r="B59" s="40">
        <v>46175.0</v>
      </c>
      <c r="C59" s="35" t="s">
        <v>97</v>
      </c>
      <c r="D59" s="35" t="s">
        <v>98</v>
      </c>
      <c r="E59" s="35" t="s">
        <v>167</v>
      </c>
      <c r="F59" s="50">
        <v>10.0</v>
      </c>
      <c r="G59" s="50">
        <v>50.0</v>
      </c>
      <c r="H59" s="50">
        <v>60.0</v>
      </c>
      <c r="I59" s="41"/>
      <c r="J59" s="41"/>
      <c r="K59" s="35" t="s">
        <v>335</v>
      </c>
      <c r="L59" s="35" t="s">
        <v>336</v>
      </c>
    </row>
    <row r="60">
      <c r="A60" s="49">
        <v>46175.34988425926</v>
      </c>
      <c r="B60" s="40">
        <v>46175.0</v>
      </c>
      <c r="C60" s="35" t="s">
        <v>251</v>
      </c>
      <c r="D60" s="35" t="s">
        <v>252</v>
      </c>
      <c r="E60" s="35" t="s">
        <v>167</v>
      </c>
      <c r="F60" s="50">
        <v>10.0</v>
      </c>
      <c r="G60" s="50">
        <v>20.0</v>
      </c>
      <c r="H60" s="50">
        <v>30.0</v>
      </c>
      <c r="I60" s="41"/>
      <c r="J60" s="41"/>
      <c r="K60" s="35" t="s">
        <v>335</v>
      </c>
      <c r="L60" s="35" t="s">
        <v>336</v>
      </c>
    </row>
    <row r="61">
      <c r="A61" s="49">
        <v>46175.35037037037</v>
      </c>
      <c r="B61" s="40">
        <v>46175.0</v>
      </c>
      <c r="C61" s="35" t="s">
        <v>243</v>
      </c>
      <c r="D61" s="35" t="s">
        <v>244</v>
      </c>
      <c r="E61" s="35" t="s">
        <v>167</v>
      </c>
      <c r="F61" s="50">
        <v>10.0</v>
      </c>
      <c r="G61" s="50">
        <v>70.0</v>
      </c>
      <c r="H61" s="50">
        <v>80.0</v>
      </c>
      <c r="I61" s="41"/>
      <c r="J61" s="41"/>
      <c r="K61" s="35" t="s">
        <v>335</v>
      </c>
      <c r="L61" s="35" t="s">
        <v>336</v>
      </c>
    </row>
    <row r="62">
      <c r="A62" s="49">
        <v>46175.351273148146</v>
      </c>
      <c r="B62" s="40">
        <v>46175.0</v>
      </c>
      <c r="C62" s="35" t="s">
        <v>247</v>
      </c>
      <c r="D62" s="35" t="s">
        <v>337</v>
      </c>
      <c r="E62" s="35" t="s">
        <v>167</v>
      </c>
      <c r="F62" s="50">
        <v>10.0</v>
      </c>
      <c r="G62" s="50">
        <v>121.0</v>
      </c>
      <c r="H62" s="50">
        <v>131.0</v>
      </c>
      <c r="I62" s="41"/>
      <c r="J62" s="41"/>
      <c r="K62" s="35" t="s">
        <v>335</v>
      </c>
      <c r="L62" s="35" t="s">
        <v>336</v>
      </c>
    </row>
    <row r="63">
      <c r="A63" s="49">
        <v>46175.35251157408</v>
      </c>
      <c r="B63" s="40">
        <v>46175.0</v>
      </c>
      <c r="C63" s="35" t="s">
        <v>249</v>
      </c>
      <c r="D63" s="35" t="s">
        <v>250</v>
      </c>
      <c r="E63" s="35" t="s">
        <v>167</v>
      </c>
      <c r="F63" s="50">
        <v>10.0</v>
      </c>
      <c r="G63" s="50">
        <v>76.0</v>
      </c>
      <c r="H63" s="50">
        <v>86.0</v>
      </c>
      <c r="I63" s="41"/>
      <c r="J63" s="41"/>
      <c r="K63" s="35" t="s">
        <v>335</v>
      </c>
      <c r="L63" s="35" t="s">
        <v>336</v>
      </c>
    </row>
    <row r="64">
      <c r="A64" s="49">
        <v>46175.355833333335</v>
      </c>
      <c r="B64" s="40">
        <v>46175.0</v>
      </c>
      <c r="C64" s="35" t="s">
        <v>255</v>
      </c>
      <c r="D64" s="35" t="s">
        <v>256</v>
      </c>
      <c r="E64" s="35" t="s">
        <v>167</v>
      </c>
      <c r="F64" s="50">
        <v>10.0</v>
      </c>
      <c r="G64" s="50">
        <v>40.0</v>
      </c>
      <c r="H64" s="50">
        <v>50.0</v>
      </c>
      <c r="I64" s="41"/>
      <c r="J64" s="41"/>
      <c r="K64" s="35" t="s">
        <v>335</v>
      </c>
      <c r="L64" s="35" t="s">
        <v>336</v>
      </c>
    </row>
    <row r="65">
      <c r="A65" s="49">
        <v>46175.3559837963</v>
      </c>
      <c r="B65" s="40">
        <v>46175.0</v>
      </c>
      <c r="C65" s="35" t="s">
        <v>253</v>
      </c>
      <c r="D65" s="35" t="s">
        <v>254</v>
      </c>
      <c r="E65" s="35" t="s">
        <v>167</v>
      </c>
      <c r="F65" s="50">
        <v>10.0</v>
      </c>
      <c r="G65" s="50">
        <v>0.0</v>
      </c>
      <c r="H65" s="50">
        <v>10.0</v>
      </c>
      <c r="I65" s="41"/>
      <c r="J65" s="41"/>
      <c r="K65" s="35" t="s">
        <v>335</v>
      </c>
      <c r="L65" s="35" t="s">
        <v>336</v>
      </c>
    </row>
    <row r="66">
      <c r="A66" s="49">
        <v>46175.35627314815</v>
      </c>
      <c r="B66" s="40">
        <v>46175.0</v>
      </c>
      <c r="C66" s="35" t="s">
        <v>240</v>
      </c>
      <c r="D66" s="35" t="s">
        <v>241</v>
      </c>
      <c r="E66" s="35" t="s">
        <v>167</v>
      </c>
      <c r="F66" s="50">
        <v>10.0</v>
      </c>
      <c r="G66" s="50">
        <v>30.0</v>
      </c>
      <c r="H66" s="50">
        <v>40.0</v>
      </c>
      <c r="I66" s="41"/>
      <c r="J66" s="41"/>
      <c r="K66" s="35" t="s">
        <v>335</v>
      </c>
      <c r="L66" s="35" t="s">
        <v>336</v>
      </c>
    </row>
    <row r="67">
      <c r="A67" s="49">
        <v>46175.357569444444</v>
      </c>
      <c r="B67" s="40">
        <v>46175.0</v>
      </c>
      <c r="C67" s="35" t="s">
        <v>103</v>
      </c>
      <c r="D67" s="35" t="s">
        <v>104</v>
      </c>
      <c r="E67" s="35" t="s">
        <v>167</v>
      </c>
      <c r="F67" s="50">
        <v>10.0</v>
      </c>
      <c r="G67" s="50">
        <v>40.0</v>
      </c>
      <c r="H67" s="50">
        <v>50.0</v>
      </c>
      <c r="I67" s="41"/>
      <c r="J67" s="41"/>
      <c r="K67" s="35" t="s">
        <v>335</v>
      </c>
      <c r="L67" s="35" t="s">
        <v>336</v>
      </c>
    </row>
    <row r="68">
      <c r="A68" s="49">
        <v>46175.357719907406</v>
      </c>
      <c r="B68" s="40">
        <v>46175.0</v>
      </c>
      <c r="C68" s="35" t="s">
        <v>92</v>
      </c>
      <c r="D68" s="35" t="s">
        <v>93</v>
      </c>
      <c r="E68" s="35" t="s">
        <v>167</v>
      </c>
      <c r="F68" s="50">
        <v>10.0</v>
      </c>
      <c r="G68" s="50">
        <v>70.0</v>
      </c>
      <c r="H68" s="50">
        <v>80.0</v>
      </c>
      <c r="I68" s="41"/>
      <c r="J68" s="41"/>
      <c r="K68" s="35" t="s">
        <v>335</v>
      </c>
      <c r="L68" s="35" t="s">
        <v>336</v>
      </c>
    </row>
    <row r="69">
      <c r="A69" s="49">
        <v>46175.37443287037</v>
      </c>
      <c r="B69" s="40">
        <v>46175.0</v>
      </c>
      <c r="C69" s="35" t="s">
        <v>245</v>
      </c>
      <c r="D69" s="35" t="s">
        <v>246</v>
      </c>
      <c r="E69" s="35" t="s">
        <v>168</v>
      </c>
      <c r="F69" s="50">
        <v>10.0</v>
      </c>
      <c r="G69" s="50">
        <v>0.0</v>
      </c>
      <c r="H69" s="50">
        <v>0.0</v>
      </c>
      <c r="I69" s="41"/>
      <c r="J69" s="41"/>
      <c r="K69" s="35" t="s">
        <v>338</v>
      </c>
      <c r="L69" s="35" t="s">
        <v>339</v>
      </c>
    </row>
    <row r="70">
      <c r="A70" s="49">
        <v>46177.34890046297</v>
      </c>
      <c r="B70" s="40">
        <v>46177.0</v>
      </c>
      <c r="C70" s="35" t="s">
        <v>249</v>
      </c>
      <c r="D70" s="35" t="s">
        <v>250</v>
      </c>
      <c r="E70" s="35" t="s">
        <v>167</v>
      </c>
      <c r="F70" s="50">
        <v>10.0</v>
      </c>
      <c r="G70" s="50">
        <v>86.0</v>
      </c>
      <c r="H70" s="50">
        <v>96.0</v>
      </c>
      <c r="I70" s="41"/>
      <c r="J70" s="41"/>
      <c r="K70" s="35" t="s">
        <v>335</v>
      </c>
      <c r="L70" s="35" t="s">
        <v>336</v>
      </c>
    </row>
    <row r="71">
      <c r="A71" s="49">
        <v>46177.3490625</v>
      </c>
      <c r="B71" s="40">
        <v>46177.0</v>
      </c>
      <c r="C71" s="35" t="s">
        <v>251</v>
      </c>
      <c r="D71" s="35" t="s">
        <v>252</v>
      </c>
      <c r="E71" s="35" t="s">
        <v>167</v>
      </c>
      <c r="F71" s="50">
        <v>10.0</v>
      </c>
      <c r="G71" s="50">
        <v>30.0</v>
      </c>
      <c r="H71" s="50">
        <v>40.0</v>
      </c>
      <c r="I71" s="41"/>
      <c r="J71" s="41"/>
      <c r="K71" s="35" t="s">
        <v>335</v>
      </c>
      <c r="L71" s="35" t="s">
        <v>336</v>
      </c>
    </row>
    <row r="72">
      <c r="A72" s="49">
        <v>46177.349699074075</v>
      </c>
      <c r="B72" s="40">
        <v>46177.0</v>
      </c>
      <c r="C72" s="35" t="s">
        <v>243</v>
      </c>
      <c r="D72" s="35" t="s">
        <v>244</v>
      </c>
      <c r="E72" s="35" t="s">
        <v>167</v>
      </c>
      <c r="F72" s="50">
        <v>10.0</v>
      </c>
      <c r="G72" s="50">
        <v>80.0</v>
      </c>
      <c r="H72" s="50">
        <v>90.0</v>
      </c>
      <c r="I72" s="41"/>
      <c r="J72" s="41"/>
      <c r="K72" s="35" t="s">
        <v>335</v>
      </c>
      <c r="L72" s="35" t="s">
        <v>336</v>
      </c>
    </row>
    <row r="73">
      <c r="A73" s="49">
        <v>46177.34989583334</v>
      </c>
      <c r="B73" s="40">
        <v>46177.0</v>
      </c>
      <c r="C73" s="35" t="s">
        <v>97</v>
      </c>
      <c r="D73" s="35" t="s">
        <v>98</v>
      </c>
      <c r="E73" s="35" t="s">
        <v>167</v>
      </c>
      <c r="F73" s="50">
        <v>10.0</v>
      </c>
      <c r="G73" s="50">
        <v>60.0</v>
      </c>
      <c r="H73" s="50">
        <v>70.0</v>
      </c>
      <c r="I73" s="41"/>
      <c r="J73" s="41"/>
      <c r="K73" s="35" t="s">
        <v>335</v>
      </c>
      <c r="L73" s="35" t="s">
        <v>336</v>
      </c>
    </row>
    <row r="74">
      <c r="A74" s="49">
        <v>46177.35613425926</v>
      </c>
      <c r="B74" s="40">
        <v>46177.0</v>
      </c>
      <c r="C74" s="35" t="s">
        <v>247</v>
      </c>
      <c r="D74" s="35" t="s">
        <v>337</v>
      </c>
      <c r="E74" s="35" t="s">
        <v>167</v>
      </c>
      <c r="F74" s="50">
        <v>10.0</v>
      </c>
      <c r="G74" s="50">
        <v>131.0</v>
      </c>
      <c r="H74" s="50">
        <v>141.0</v>
      </c>
      <c r="I74" s="41"/>
      <c r="J74" s="41"/>
      <c r="K74" s="35" t="s">
        <v>335</v>
      </c>
      <c r="L74" s="35" t="s">
        <v>336</v>
      </c>
    </row>
    <row r="75">
      <c r="A75" s="49">
        <v>46177.35655092593</v>
      </c>
      <c r="B75" s="40">
        <v>46177.0</v>
      </c>
      <c r="C75" s="35" t="s">
        <v>92</v>
      </c>
      <c r="D75" s="35" t="s">
        <v>93</v>
      </c>
      <c r="E75" s="35" t="s">
        <v>167</v>
      </c>
      <c r="F75" s="50">
        <v>10.0</v>
      </c>
      <c r="G75" s="50">
        <v>80.0</v>
      </c>
      <c r="H75" s="50">
        <v>90.0</v>
      </c>
      <c r="I75" s="41"/>
      <c r="J75" s="41"/>
      <c r="K75" s="35" t="s">
        <v>335</v>
      </c>
      <c r="L75" s="35" t="s">
        <v>336</v>
      </c>
    </row>
    <row r="76">
      <c r="A76" s="49">
        <v>46177.35769675926</v>
      </c>
      <c r="B76" s="40">
        <v>46177.0</v>
      </c>
      <c r="C76" s="35" t="s">
        <v>253</v>
      </c>
      <c r="D76" s="35" t="s">
        <v>254</v>
      </c>
      <c r="E76" s="35" t="s">
        <v>167</v>
      </c>
      <c r="F76" s="50">
        <v>10.0</v>
      </c>
      <c r="G76" s="50">
        <v>10.0</v>
      </c>
      <c r="H76" s="50">
        <v>20.0</v>
      </c>
      <c r="I76" s="41"/>
      <c r="J76" s="41"/>
      <c r="K76" s="35" t="s">
        <v>335</v>
      </c>
      <c r="L76" s="35" t="s">
        <v>336</v>
      </c>
    </row>
    <row r="77">
      <c r="A77" s="49">
        <v>46177.35804398148</v>
      </c>
      <c r="B77" s="40">
        <v>46177.0</v>
      </c>
      <c r="C77" s="35" t="s">
        <v>103</v>
      </c>
      <c r="D77" s="35" t="s">
        <v>104</v>
      </c>
      <c r="E77" s="35" t="s">
        <v>167</v>
      </c>
      <c r="F77" s="50">
        <v>10.0</v>
      </c>
      <c r="G77" s="50">
        <v>50.0</v>
      </c>
      <c r="H77" s="50">
        <v>60.0</v>
      </c>
      <c r="I77" s="41"/>
      <c r="J77" s="41"/>
      <c r="K77" s="35" t="s">
        <v>335</v>
      </c>
      <c r="L77" s="35" t="s">
        <v>336</v>
      </c>
    </row>
    <row r="78">
      <c r="A78" s="49">
        <v>46177.35815972222</v>
      </c>
      <c r="B78" s="40">
        <v>46177.0</v>
      </c>
      <c r="C78" s="35" t="s">
        <v>255</v>
      </c>
      <c r="D78" s="35" t="s">
        <v>256</v>
      </c>
      <c r="E78" s="35" t="s">
        <v>167</v>
      </c>
      <c r="F78" s="50">
        <v>10.0</v>
      </c>
      <c r="G78" s="50">
        <v>50.0</v>
      </c>
      <c r="H78" s="50">
        <v>60.0</v>
      </c>
      <c r="I78" s="41"/>
      <c r="J78" s="41"/>
      <c r="K78" s="35" t="s">
        <v>335</v>
      </c>
      <c r="L78" s="35" t="s">
        <v>336</v>
      </c>
    </row>
    <row r="79">
      <c r="A79" s="49">
        <v>46177.3590625</v>
      </c>
      <c r="B79" s="40">
        <v>46177.0</v>
      </c>
      <c r="C79" s="35" t="s">
        <v>240</v>
      </c>
      <c r="D79" s="35" t="s">
        <v>241</v>
      </c>
      <c r="E79" s="35" t="s">
        <v>168</v>
      </c>
      <c r="F79" s="50">
        <v>10.0</v>
      </c>
      <c r="G79" s="50">
        <v>40.0</v>
      </c>
      <c r="H79" s="50">
        <v>30.0</v>
      </c>
      <c r="I79" s="41"/>
      <c r="J79" s="41"/>
      <c r="K79" s="35" t="s">
        <v>338</v>
      </c>
      <c r="L79" s="35" t="s">
        <v>336</v>
      </c>
    </row>
    <row r="80">
      <c r="A80" s="49">
        <v>46177.36456018518</v>
      </c>
      <c r="B80" s="40">
        <v>46177.0</v>
      </c>
      <c r="C80" s="35" t="s">
        <v>245</v>
      </c>
      <c r="D80" s="35" t="s">
        <v>246</v>
      </c>
      <c r="E80" s="35" t="s">
        <v>168</v>
      </c>
      <c r="F80" s="50">
        <v>10.0</v>
      </c>
      <c r="G80" s="50">
        <v>0.0</v>
      </c>
      <c r="H80" s="50">
        <v>0.0</v>
      </c>
      <c r="I80" s="41"/>
      <c r="J80" s="41"/>
      <c r="K80" s="35" t="s">
        <v>338</v>
      </c>
      <c r="L80" s="35" t="s">
        <v>339</v>
      </c>
    </row>
    <row r="81">
      <c r="A81" s="49">
        <v>46178.34515046296</v>
      </c>
      <c r="B81" s="40">
        <v>46178.0</v>
      </c>
      <c r="C81" s="35" t="s">
        <v>247</v>
      </c>
      <c r="D81" s="35" t="s">
        <v>337</v>
      </c>
      <c r="E81" s="35" t="s">
        <v>167</v>
      </c>
      <c r="F81" s="50">
        <v>10.0</v>
      </c>
      <c r="G81" s="50">
        <v>141.0</v>
      </c>
      <c r="H81" s="50">
        <v>151.0</v>
      </c>
      <c r="I81" s="41"/>
      <c r="J81" s="41"/>
      <c r="K81" s="35" t="s">
        <v>335</v>
      </c>
      <c r="L81" s="35" t="s">
        <v>336</v>
      </c>
    </row>
    <row r="82">
      <c r="A82" s="49">
        <v>46178.34532407407</v>
      </c>
      <c r="B82" s="40">
        <v>46178.0</v>
      </c>
      <c r="C82" s="35" t="s">
        <v>97</v>
      </c>
      <c r="D82" s="35" t="s">
        <v>98</v>
      </c>
      <c r="E82" s="35" t="s">
        <v>167</v>
      </c>
      <c r="F82" s="50">
        <v>10.0</v>
      </c>
      <c r="G82" s="50">
        <v>70.0</v>
      </c>
      <c r="H82" s="50">
        <v>80.0</v>
      </c>
      <c r="I82" s="41"/>
      <c r="J82" s="41"/>
      <c r="K82" s="35" t="s">
        <v>335</v>
      </c>
      <c r="L82" s="35" t="s">
        <v>336</v>
      </c>
    </row>
    <row r="83">
      <c r="A83" s="49">
        <v>46178.34637731482</v>
      </c>
      <c r="B83" s="40">
        <v>46178.0</v>
      </c>
      <c r="C83" s="35" t="s">
        <v>247</v>
      </c>
      <c r="D83" s="35" t="s">
        <v>337</v>
      </c>
      <c r="E83" s="35" t="s">
        <v>162</v>
      </c>
      <c r="F83" s="50">
        <v>121.0</v>
      </c>
      <c r="G83" s="50">
        <v>151.0</v>
      </c>
      <c r="H83" s="50">
        <v>272.0</v>
      </c>
      <c r="I83" s="41"/>
      <c r="J83" s="41"/>
      <c r="K83" s="41"/>
      <c r="L83" s="35" t="s">
        <v>336</v>
      </c>
    </row>
    <row r="84">
      <c r="A84" s="49">
        <v>46178.349594907406</v>
      </c>
      <c r="B84" s="40">
        <v>46178.0</v>
      </c>
      <c r="C84" s="35" t="s">
        <v>251</v>
      </c>
      <c r="D84" s="35" t="s">
        <v>252</v>
      </c>
      <c r="E84" s="35" t="s">
        <v>167</v>
      </c>
      <c r="F84" s="50">
        <v>10.0</v>
      </c>
      <c r="G84" s="50">
        <v>40.0</v>
      </c>
      <c r="H84" s="50">
        <v>50.0</v>
      </c>
      <c r="I84" s="41"/>
      <c r="J84" s="41"/>
      <c r="K84" s="35" t="s">
        <v>335</v>
      </c>
      <c r="L84" s="35" t="s">
        <v>336</v>
      </c>
    </row>
    <row r="85">
      <c r="A85" s="49">
        <v>46178.35016203704</v>
      </c>
      <c r="B85" s="40">
        <v>46178.0</v>
      </c>
      <c r="C85" s="35" t="s">
        <v>243</v>
      </c>
      <c r="D85" s="35" t="s">
        <v>244</v>
      </c>
      <c r="E85" s="35" t="s">
        <v>167</v>
      </c>
      <c r="F85" s="50">
        <v>10.0</v>
      </c>
      <c r="G85" s="50">
        <v>90.0</v>
      </c>
      <c r="H85" s="50">
        <v>100.0</v>
      </c>
      <c r="I85" s="41"/>
      <c r="J85" s="41"/>
      <c r="K85" s="35" t="s">
        <v>335</v>
      </c>
      <c r="L85" s="35" t="s">
        <v>336</v>
      </c>
    </row>
    <row r="86">
      <c r="A86" s="49">
        <v>46178.35517361111</v>
      </c>
      <c r="B86" s="40">
        <v>46178.0</v>
      </c>
      <c r="C86" s="35" t="s">
        <v>92</v>
      </c>
      <c r="D86" s="35" t="s">
        <v>93</v>
      </c>
      <c r="E86" s="35" t="s">
        <v>167</v>
      </c>
      <c r="F86" s="50">
        <v>10.0</v>
      </c>
      <c r="G86" s="50">
        <v>90.0</v>
      </c>
      <c r="H86" s="50">
        <v>100.0</v>
      </c>
      <c r="I86" s="41"/>
      <c r="J86" s="41"/>
      <c r="K86" s="35" t="s">
        <v>335</v>
      </c>
      <c r="L86" s="35" t="s">
        <v>336</v>
      </c>
    </row>
    <row r="87">
      <c r="A87" s="49">
        <v>46178.35550925926</v>
      </c>
      <c r="B87" s="40">
        <v>46178.0</v>
      </c>
      <c r="C87" s="35" t="s">
        <v>251</v>
      </c>
      <c r="D87" s="35" t="s">
        <v>252</v>
      </c>
      <c r="E87" s="35" t="s">
        <v>162</v>
      </c>
      <c r="F87" s="50">
        <v>5.0</v>
      </c>
      <c r="G87" s="50">
        <v>50.0</v>
      </c>
      <c r="H87" s="50">
        <v>55.0</v>
      </c>
      <c r="I87" s="41"/>
      <c r="J87" s="41"/>
      <c r="K87" s="41"/>
      <c r="L87" s="35" t="s">
        <v>336</v>
      </c>
    </row>
    <row r="88">
      <c r="A88" s="49">
        <v>46178.3565625</v>
      </c>
      <c r="B88" s="40">
        <v>46178.0</v>
      </c>
      <c r="C88" s="35" t="s">
        <v>255</v>
      </c>
      <c r="D88" s="35" t="s">
        <v>256</v>
      </c>
      <c r="E88" s="35" t="s">
        <v>167</v>
      </c>
      <c r="F88" s="50">
        <v>10.0</v>
      </c>
      <c r="G88" s="50">
        <v>60.0</v>
      </c>
      <c r="H88" s="50">
        <v>70.0</v>
      </c>
      <c r="I88" s="41"/>
      <c r="J88" s="41"/>
      <c r="K88" s="35" t="s">
        <v>335</v>
      </c>
      <c r="L88" s="35" t="s">
        <v>336</v>
      </c>
    </row>
    <row r="89">
      <c r="A89" s="49">
        <v>46178.3578125</v>
      </c>
      <c r="B89" s="40">
        <v>46178.0</v>
      </c>
      <c r="C89" s="35" t="s">
        <v>240</v>
      </c>
      <c r="D89" s="35" t="s">
        <v>241</v>
      </c>
      <c r="E89" s="35" t="s">
        <v>167</v>
      </c>
      <c r="F89" s="50">
        <v>10.0</v>
      </c>
      <c r="G89" s="50">
        <v>30.0</v>
      </c>
      <c r="H89" s="50">
        <v>40.0</v>
      </c>
      <c r="I89" s="41"/>
      <c r="J89" s="41"/>
      <c r="K89" s="35" t="s">
        <v>335</v>
      </c>
      <c r="L89" s="35" t="s">
        <v>336</v>
      </c>
    </row>
    <row r="90">
      <c r="A90" s="49">
        <v>46178.375185185185</v>
      </c>
      <c r="B90" s="40">
        <v>46178.0</v>
      </c>
      <c r="C90" s="35" t="s">
        <v>103</v>
      </c>
      <c r="D90" s="35" t="s">
        <v>104</v>
      </c>
      <c r="E90" s="35" t="s">
        <v>168</v>
      </c>
      <c r="F90" s="50">
        <v>10.0</v>
      </c>
      <c r="G90" s="50">
        <v>60.0</v>
      </c>
      <c r="H90" s="50">
        <v>50.0</v>
      </c>
      <c r="I90" s="41"/>
      <c r="J90" s="41"/>
      <c r="K90" s="35" t="s">
        <v>338</v>
      </c>
      <c r="L90" s="35" t="s">
        <v>336</v>
      </c>
    </row>
    <row r="91">
      <c r="A91" s="49">
        <v>46178.55496527778</v>
      </c>
      <c r="B91" s="40">
        <v>46178.0</v>
      </c>
      <c r="C91" s="35" t="s">
        <v>103</v>
      </c>
      <c r="D91" s="35" t="s">
        <v>104</v>
      </c>
      <c r="E91" s="35" t="s">
        <v>162</v>
      </c>
      <c r="F91" s="50">
        <v>15.0</v>
      </c>
      <c r="G91" s="50">
        <v>50.0</v>
      </c>
      <c r="H91" s="50">
        <v>65.0</v>
      </c>
      <c r="I91" s="41"/>
      <c r="J91" s="41"/>
      <c r="K91" s="41"/>
      <c r="L91" s="35" t="s">
        <v>336</v>
      </c>
    </row>
    <row r="92">
      <c r="A92" s="49">
        <v>46181.34355324074</v>
      </c>
      <c r="B92" s="40">
        <v>46181.0</v>
      </c>
      <c r="C92" s="35" t="s">
        <v>251</v>
      </c>
      <c r="D92" s="35" t="s">
        <v>252</v>
      </c>
      <c r="E92" s="35" t="s">
        <v>167</v>
      </c>
      <c r="F92" s="50">
        <v>10.0</v>
      </c>
      <c r="G92" s="50">
        <v>472.79</v>
      </c>
      <c r="H92" s="50">
        <v>482.79</v>
      </c>
      <c r="I92" s="41"/>
      <c r="J92" s="41"/>
      <c r="K92" s="35" t="s">
        <v>335</v>
      </c>
      <c r="L92" s="35" t="s">
        <v>336</v>
      </c>
    </row>
    <row r="93">
      <c r="A93" s="49">
        <v>46181.34873842593</v>
      </c>
      <c r="B93" s="40">
        <v>46181.0</v>
      </c>
      <c r="C93" s="35" t="s">
        <v>243</v>
      </c>
      <c r="D93" s="35" t="s">
        <v>244</v>
      </c>
      <c r="E93" s="35" t="s">
        <v>167</v>
      </c>
      <c r="F93" s="50">
        <v>10.0</v>
      </c>
      <c r="G93" s="50">
        <v>275.16</v>
      </c>
      <c r="H93" s="50">
        <v>285.16</v>
      </c>
      <c r="I93" s="41"/>
      <c r="J93" s="41"/>
      <c r="K93" s="35" t="s">
        <v>335</v>
      </c>
      <c r="L93" s="35" t="s">
        <v>336</v>
      </c>
    </row>
    <row r="94">
      <c r="A94" s="49">
        <v>46181.34923611111</v>
      </c>
      <c r="B94" s="40">
        <v>46181.0</v>
      </c>
      <c r="C94" s="35" t="s">
        <v>97</v>
      </c>
      <c r="D94" s="35" t="s">
        <v>98</v>
      </c>
      <c r="E94" s="35" t="s">
        <v>167</v>
      </c>
      <c r="F94" s="50">
        <v>10.0</v>
      </c>
      <c r="G94" s="50">
        <v>580.0</v>
      </c>
      <c r="H94" s="50">
        <v>590.0</v>
      </c>
      <c r="I94" s="41"/>
      <c r="J94" s="41"/>
      <c r="K94" s="35" t="s">
        <v>335</v>
      </c>
      <c r="L94" s="35" t="s">
        <v>336</v>
      </c>
    </row>
    <row r="95">
      <c r="A95" s="49">
        <v>46181.35068287037</v>
      </c>
      <c r="B95" s="40">
        <v>46181.0</v>
      </c>
      <c r="C95" s="35" t="s">
        <v>103</v>
      </c>
      <c r="D95" s="35" t="s">
        <v>104</v>
      </c>
      <c r="E95" s="35" t="s">
        <v>167</v>
      </c>
      <c r="F95" s="50">
        <v>10.0</v>
      </c>
      <c r="G95" s="50">
        <v>565.0</v>
      </c>
      <c r="H95" s="50">
        <v>575.0</v>
      </c>
      <c r="I95" s="41"/>
      <c r="J95" s="41"/>
      <c r="K95" s="35" t="s">
        <v>335</v>
      </c>
      <c r="L95" s="35" t="s">
        <v>336</v>
      </c>
    </row>
    <row r="96">
      <c r="A96" s="49">
        <v>46181.35196759259</v>
      </c>
      <c r="B96" s="40">
        <v>46181.0</v>
      </c>
      <c r="C96" s="35" t="s">
        <v>247</v>
      </c>
      <c r="D96" s="35" t="s">
        <v>248</v>
      </c>
      <c r="E96" s="35" t="s">
        <v>167</v>
      </c>
      <c r="F96" s="50">
        <v>10.0</v>
      </c>
      <c r="G96" s="50">
        <v>696.29</v>
      </c>
      <c r="H96" s="50">
        <v>706.29</v>
      </c>
      <c r="I96" s="41"/>
      <c r="J96" s="41"/>
      <c r="K96" s="35" t="s">
        <v>335</v>
      </c>
      <c r="L96" s="35" t="s">
        <v>336</v>
      </c>
    </row>
    <row r="97">
      <c r="A97" s="49">
        <v>46181.354097222225</v>
      </c>
      <c r="B97" s="40">
        <v>46181.0</v>
      </c>
      <c r="C97" s="35" t="s">
        <v>249</v>
      </c>
      <c r="D97" s="35" t="s">
        <v>250</v>
      </c>
      <c r="E97" s="35" t="s">
        <v>167</v>
      </c>
      <c r="F97" s="50">
        <v>10.0</v>
      </c>
      <c r="G97" s="50">
        <v>596.0</v>
      </c>
      <c r="H97" s="50">
        <v>606.0</v>
      </c>
      <c r="I97" s="41"/>
      <c r="J97" s="41"/>
      <c r="K97" s="35" t="s">
        <v>335</v>
      </c>
      <c r="L97" s="35" t="s">
        <v>336</v>
      </c>
    </row>
    <row r="98">
      <c r="A98" s="49">
        <v>46181.35700231481</v>
      </c>
      <c r="B98" s="40">
        <v>46181.0</v>
      </c>
      <c r="C98" s="35" t="s">
        <v>255</v>
      </c>
      <c r="D98" s="35" t="s">
        <v>256</v>
      </c>
      <c r="E98" s="35" t="s">
        <v>167</v>
      </c>
      <c r="F98" s="50">
        <v>10.0</v>
      </c>
      <c r="G98" s="50">
        <v>44.4</v>
      </c>
      <c r="H98" s="50">
        <v>54.4</v>
      </c>
      <c r="I98" s="41"/>
      <c r="J98" s="41"/>
      <c r="K98" s="35" t="s">
        <v>335</v>
      </c>
      <c r="L98" s="35" t="s">
        <v>336</v>
      </c>
    </row>
    <row r="99">
      <c r="A99" s="49">
        <v>46181.35716435185</v>
      </c>
      <c r="B99" s="40">
        <v>46181.0</v>
      </c>
      <c r="C99" s="35" t="s">
        <v>253</v>
      </c>
      <c r="D99" s="35" t="s">
        <v>254</v>
      </c>
      <c r="E99" s="35" t="s">
        <v>167</v>
      </c>
      <c r="F99" s="50">
        <v>10.0</v>
      </c>
      <c r="G99" s="50">
        <v>44.8</v>
      </c>
      <c r="H99" s="50">
        <v>54.8</v>
      </c>
      <c r="I99" s="41"/>
      <c r="J99" s="41"/>
      <c r="K99" s="35" t="s">
        <v>335</v>
      </c>
      <c r="L99" s="35" t="s">
        <v>336</v>
      </c>
    </row>
    <row r="100">
      <c r="A100" s="49">
        <v>46181.357407407406</v>
      </c>
      <c r="B100" s="40">
        <v>46181.0</v>
      </c>
      <c r="C100" s="35" t="s">
        <v>240</v>
      </c>
      <c r="D100" s="35" t="s">
        <v>241</v>
      </c>
      <c r="E100" s="35" t="s">
        <v>167</v>
      </c>
      <c r="F100" s="50">
        <v>10.0</v>
      </c>
      <c r="G100" s="50">
        <v>301.98</v>
      </c>
      <c r="H100" s="50">
        <v>311.98</v>
      </c>
      <c r="I100" s="41"/>
      <c r="J100" s="41"/>
      <c r="K100" s="35" t="s">
        <v>335</v>
      </c>
      <c r="L100" s="35" t="s">
        <v>336</v>
      </c>
    </row>
    <row r="101">
      <c r="A101" s="49">
        <v>46181.36615740741</v>
      </c>
      <c r="B101" s="40">
        <v>46181.0</v>
      </c>
      <c r="C101" s="35" t="s">
        <v>245</v>
      </c>
      <c r="D101" s="35" t="s">
        <v>246</v>
      </c>
      <c r="E101" s="35" t="s">
        <v>168</v>
      </c>
      <c r="F101" s="50">
        <v>10.0</v>
      </c>
      <c r="G101" s="50">
        <v>20.08</v>
      </c>
      <c r="H101" s="50">
        <v>10.079999999999998</v>
      </c>
      <c r="I101" s="41"/>
      <c r="J101" s="41"/>
      <c r="K101" s="35" t="s">
        <v>338</v>
      </c>
      <c r="L101" s="35" t="s">
        <v>336</v>
      </c>
    </row>
    <row r="102">
      <c r="A102" s="49">
        <v>46182.34726851852</v>
      </c>
      <c r="B102" s="40">
        <v>46182.0</v>
      </c>
      <c r="C102" s="35" t="s">
        <v>97</v>
      </c>
      <c r="D102" s="35" t="s">
        <v>98</v>
      </c>
      <c r="E102" s="35" t="s">
        <v>167</v>
      </c>
      <c r="F102" s="50">
        <v>10.0</v>
      </c>
      <c r="G102" s="50">
        <v>590.0</v>
      </c>
      <c r="H102" s="50">
        <v>600.0</v>
      </c>
      <c r="I102" s="41"/>
      <c r="J102" s="41"/>
      <c r="K102" s="35" t="s">
        <v>335</v>
      </c>
      <c r="L102" s="35" t="s">
        <v>336</v>
      </c>
    </row>
    <row r="103">
      <c r="A103" s="49">
        <v>46182.348020833335</v>
      </c>
      <c r="B103" s="40">
        <v>46182.0</v>
      </c>
      <c r="C103" s="35" t="s">
        <v>251</v>
      </c>
      <c r="D103" s="35" t="s">
        <v>252</v>
      </c>
      <c r="E103" s="35" t="s">
        <v>167</v>
      </c>
      <c r="F103" s="50">
        <v>10.0</v>
      </c>
      <c r="G103" s="50">
        <v>482.79</v>
      </c>
      <c r="H103" s="50">
        <v>492.79</v>
      </c>
      <c r="I103" s="41"/>
      <c r="J103" s="41"/>
      <c r="K103" s="35" t="s">
        <v>335</v>
      </c>
      <c r="L103" s="35" t="s">
        <v>336</v>
      </c>
    </row>
    <row r="104">
      <c r="A104" s="49">
        <v>46182.351643518516</v>
      </c>
      <c r="B104" s="40">
        <v>46182.0</v>
      </c>
      <c r="C104" s="35" t="s">
        <v>243</v>
      </c>
      <c r="D104" s="35" t="s">
        <v>244</v>
      </c>
      <c r="E104" s="35" t="s">
        <v>167</v>
      </c>
      <c r="F104" s="50">
        <v>10.0</v>
      </c>
      <c r="G104" s="50">
        <v>285.16</v>
      </c>
      <c r="H104" s="50">
        <v>295.16</v>
      </c>
      <c r="I104" s="41"/>
      <c r="J104" s="41"/>
      <c r="K104" s="35" t="s">
        <v>335</v>
      </c>
      <c r="L104" s="35" t="s">
        <v>336</v>
      </c>
    </row>
    <row r="105">
      <c r="A105" s="49">
        <v>46182.35258101852</v>
      </c>
      <c r="B105" s="40">
        <v>46182.0</v>
      </c>
      <c r="C105" s="35" t="s">
        <v>247</v>
      </c>
      <c r="D105" s="35" t="s">
        <v>248</v>
      </c>
      <c r="E105" s="35" t="s">
        <v>167</v>
      </c>
      <c r="F105" s="50">
        <v>10.0</v>
      </c>
      <c r="G105" s="50">
        <v>706.29</v>
      </c>
      <c r="H105" s="50">
        <v>716.29</v>
      </c>
      <c r="I105" s="41"/>
      <c r="J105" s="41"/>
      <c r="K105" s="35" t="s">
        <v>335</v>
      </c>
      <c r="L105" s="35" t="s">
        <v>336</v>
      </c>
    </row>
    <row r="106">
      <c r="A106" s="49">
        <v>46182.35381944444</v>
      </c>
      <c r="B106" s="40">
        <v>46182.0</v>
      </c>
      <c r="C106" s="35" t="s">
        <v>253</v>
      </c>
      <c r="D106" s="35" t="s">
        <v>254</v>
      </c>
      <c r="E106" s="35" t="s">
        <v>167</v>
      </c>
      <c r="F106" s="50">
        <v>10.0</v>
      </c>
      <c r="G106" s="50">
        <v>54.8</v>
      </c>
      <c r="H106" s="50">
        <v>64.8</v>
      </c>
      <c r="I106" s="41"/>
      <c r="J106" s="41"/>
      <c r="K106" s="35" t="s">
        <v>335</v>
      </c>
      <c r="L106" s="35" t="s">
        <v>336</v>
      </c>
    </row>
    <row r="107">
      <c r="A107" s="49">
        <v>46182.35474537037</v>
      </c>
      <c r="B107" s="40">
        <v>46182.0</v>
      </c>
      <c r="C107" s="35" t="s">
        <v>92</v>
      </c>
      <c r="D107" s="35" t="s">
        <v>93</v>
      </c>
      <c r="E107" s="35" t="s">
        <v>167</v>
      </c>
      <c r="F107" s="50">
        <v>10.0</v>
      </c>
      <c r="G107" s="50">
        <v>477.76</v>
      </c>
      <c r="H107" s="50">
        <v>487.76</v>
      </c>
      <c r="I107" s="41"/>
      <c r="J107" s="41"/>
      <c r="K107" s="35" t="s">
        <v>335</v>
      </c>
      <c r="L107" s="35" t="s">
        <v>336</v>
      </c>
    </row>
    <row r="108">
      <c r="A108" s="49">
        <v>46182.35690972222</v>
      </c>
      <c r="B108" s="40">
        <v>46182.0</v>
      </c>
      <c r="C108" s="35" t="s">
        <v>255</v>
      </c>
      <c r="D108" s="35" t="s">
        <v>256</v>
      </c>
      <c r="E108" s="35" t="s">
        <v>167</v>
      </c>
      <c r="F108" s="50">
        <v>10.0</v>
      </c>
      <c r="G108" s="50">
        <v>54.4</v>
      </c>
      <c r="H108" s="50">
        <v>64.4</v>
      </c>
      <c r="I108" s="41"/>
      <c r="J108" s="41"/>
      <c r="K108" s="35" t="s">
        <v>335</v>
      </c>
      <c r="L108" s="35" t="s">
        <v>336</v>
      </c>
    </row>
    <row r="109">
      <c r="A109" s="49">
        <v>46182.35728009259</v>
      </c>
      <c r="B109" s="40">
        <v>46182.0</v>
      </c>
      <c r="C109" s="35" t="s">
        <v>240</v>
      </c>
      <c r="D109" s="35" t="s">
        <v>241</v>
      </c>
      <c r="E109" s="35" t="s">
        <v>167</v>
      </c>
      <c r="F109" s="50">
        <v>10.0</v>
      </c>
      <c r="G109" s="50">
        <v>311.98</v>
      </c>
      <c r="H109" s="50">
        <v>321.98</v>
      </c>
      <c r="I109" s="41"/>
      <c r="J109" s="41"/>
      <c r="K109" s="35" t="s">
        <v>335</v>
      </c>
      <c r="L109" s="35" t="s">
        <v>336</v>
      </c>
    </row>
    <row r="110">
      <c r="A110" s="49">
        <v>46182.358078703706</v>
      </c>
      <c r="B110" s="40">
        <v>46182.0</v>
      </c>
      <c r="C110" s="35" t="s">
        <v>103</v>
      </c>
      <c r="D110" s="35" t="s">
        <v>104</v>
      </c>
      <c r="E110" s="35" t="s">
        <v>167</v>
      </c>
      <c r="F110" s="50">
        <v>10.0</v>
      </c>
      <c r="G110" s="50">
        <v>575.0</v>
      </c>
      <c r="H110" s="50">
        <v>585.0</v>
      </c>
      <c r="I110" s="41"/>
      <c r="J110" s="41"/>
      <c r="K110" s="35" t="s">
        <v>335</v>
      </c>
      <c r="L110" s="35" t="s">
        <v>336</v>
      </c>
    </row>
    <row r="111">
      <c r="A111" s="49">
        <v>46183.34612268519</v>
      </c>
      <c r="B111" s="40">
        <v>46183.0</v>
      </c>
      <c r="C111" s="35" t="s">
        <v>247</v>
      </c>
      <c r="D111" s="35" t="s">
        <v>248</v>
      </c>
      <c r="E111" s="35" t="s">
        <v>167</v>
      </c>
      <c r="F111" s="50">
        <v>10.0</v>
      </c>
      <c r="G111" s="50">
        <v>716.29</v>
      </c>
      <c r="H111" s="50">
        <v>726.29</v>
      </c>
      <c r="I111" s="41"/>
      <c r="J111" s="41"/>
      <c r="K111" s="35" t="s">
        <v>335</v>
      </c>
      <c r="L111" s="35" t="s">
        <v>336</v>
      </c>
    </row>
    <row r="112">
      <c r="A112" s="49">
        <v>46183.35053240741</v>
      </c>
      <c r="B112" s="40">
        <v>46183.0</v>
      </c>
      <c r="C112" s="35" t="s">
        <v>97</v>
      </c>
      <c r="D112" s="35" t="s">
        <v>98</v>
      </c>
      <c r="E112" s="35" t="s">
        <v>167</v>
      </c>
      <c r="F112" s="50">
        <v>10.0</v>
      </c>
      <c r="G112" s="50">
        <v>600.0</v>
      </c>
      <c r="H112" s="50">
        <v>610.0</v>
      </c>
      <c r="I112" s="41"/>
      <c r="J112" s="41"/>
      <c r="K112" s="35" t="s">
        <v>335</v>
      </c>
      <c r="L112" s="35" t="s">
        <v>336</v>
      </c>
    </row>
    <row r="113">
      <c r="A113" s="49">
        <v>46183.35241898148</v>
      </c>
      <c r="B113" s="40">
        <v>46183.0</v>
      </c>
      <c r="C113" s="35" t="s">
        <v>251</v>
      </c>
      <c r="D113" s="35" t="s">
        <v>252</v>
      </c>
      <c r="E113" s="35" t="s">
        <v>167</v>
      </c>
      <c r="F113" s="50">
        <v>10.0</v>
      </c>
      <c r="G113" s="50">
        <v>492.79</v>
      </c>
      <c r="H113" s="50">
        <v>502.79</v>
      </c>
      <c r="I113" s="41"/>
      <c r="J113" s="41"/>
      <c r="K113" s="35" t="s">
        <v>335</v>
      </c>
      <c r="L113" s="35" t="s">
        <v>336</v>
      </c>
    </row>
    <row r="114">
      <c r="A114" s="49">
        <v>46183.353530092594</v>
      </c>
      <c r="B114" s="40">
        <v>46183.0</v>
      </c>
      <c r="C114" s="35" t="s">
        <v>243</v>
      </c>
      <c r="D114" s="35" t="s">
        <v>244</v>
      </c>
      <c r="E114" s="35" t="s">
        <v>167</v>
      </c>
      <c r="F114" s="50">
        <v>10.0</v>
      </c>
      <c r="G114" s="50">
        <v>295.16</v>
      </c>
      <c r="H114" s="50">
        <v>305.16</v>
      </c>
      <c r="I114" s="41"/>
      <c r="J114" s="41"/>
      <c r="K114" s="35" t="s">
        <v>335</v>
      </c>
      <c r="L114" s="35" t="s">
        <v>336</v>
      </c>
    </row>
    <row r="115">
      <c r="A115" s="49">
        <v>46183.35503472222</v>
      </c>
      <c r="B115" s="40">
        <v>46183.0</v>
      </c>
      <c r="C115" s="35" t="s">
        <v>92</v>
      </c>
      <c r="D115" s="35" t="s">
        <v>93</v>
      </c>
      <c r="E115" s="35" t="s">
        <v>167</v>
      </c>
      <c r="F115" s="50">
        <v>10.0</v>
      </c>
      <c r="G115" s="50">
        <v>487.76</v>
      </c>
      <c r="H115" s="50">
        <v>497.76</v>
      </c>
      <c r="I115" s="41"/>
      <c r="J115" s="41"/>
      <c r="K115" s="35" t="s">
        <v>335</v>
      </c>
      <c r="L115" s="35" t="s">
        <v>336</v>
      </c>
    </row>
    <row r="116">
      <c r="A116" s="49">
        <v>46183.35627314815</v>
      </c>
      <c r="B116" s="40">
        <v>46183.0</v>
      </c>
      <c r="C116" s="35" t="s">
        <v>253</v>
      </c>
      <c r="D116" s="35" t="s">
        <v>254</v>
      </c>
      <c r="E116" s="35" t="s">
        <v>167</v>
      </c>
      <c r="F116" s="50">
        <v>10.0</v>
      </c>
      <c r="G116" s="50">
        <v>64.8</v>
      </c>
      <c r="H116" s="50">
        <v>74.8</v>
      </c>
      <c r="I116" s="41"/>
      <c r="J116" s="41"/>
      <c r="K116" s="35" t="s">
        <v>335</v>
      </c>
      <c r="L116" s="35" t="s">
        <v>336</v>
      </c>
    </row>
    <row r="117">
      <c r="A117" s="49">
        <v>46183.356770833336</v>
      </c>
      <c r="B117" s="40">
        <v>46183.0</v>
      </c>
      <c r="C117" s="35" t="s">
        <v>240</v>
      </c>
      <c r="D117" s="35" t="s">
        <v>241</v>
      </c>
      <c r="E117" s="35" t="s">
        <v>167</v>
      </c>
      <c r="F117" s="50">
        <v>10.0</v>
      </c>
      <c r="G117" s="50">
        <v>321.98</v>
      </c>
      <c r="H117" s="50">
        <v>331.98</v>
      </c>
      <c r="I117" s="41"/>
      <c r="J117" s="41"/>
      <c r="K117" s="35" t="s">
        <v>335</v>
      </c>
      <c r="L117" s="35" t="s">
        <v>336</v>
      </c>
    </row>
    <row r="118">
      <c r="A118" s="49">
        <v>46183.3696412037</v>
      </c>
      <c r="B118" s="40">
        <v>46183.0</v>
      </c>
      <c r="C118" s="35" t="s">
        <v>255</v>
      </c>
      <c r="D118" s="35" t="s">
        <v>256</v>
      </c>
      <c r="E118" s="35" t="s">
        <v>168</v>
      </c>
      <c r="F118" s="50">
        <v>10.0</v>
      </c>
      <c r="G118" s="50">
        <v>64.4</v>
      </c>
      <c r="H118" s="50">
        <v>54.400000000000006</v>
      </c>
      <c r="I118" s="41"/>
      <c r="J118" s="41"/>
      <c r="K118" s="35" t="s">
        <v>338</v>
      </c>
      <c r="L118" s="35" t="s">
        <v>336</v>
      </c>
    </row>
    <row r="119">
      <c r="A119" s="49">
        <v>46183.49630787037</v>
      </c>
      <c r="B119" s="40">
        <v>46183.0</v>
      </c>
      <c r="C119" s="35" t="s">
        <v>251</v>
      </c>
      <c r="D119" s="35" t="s">
        <v>252</v>
      </c>
      <c r="E119" s="35" t="s">
        <v>135</v>
      </c>
      <c r="F119" s="50">
        <v>100.0</v>
      </c>
      <c r="G119" s="50">
        <v>502.79</v>
      </c>
      <c r="H119" s="50">
        <v>402.79</v>
      </c>
      <c r="I119" s="36">
        <v>9965.0</v>
      </c>
      <c r="J119" s="35" t="s">
        <v>81</v>
      </c>
      <c r="K119" s="35" t="s">
        <v>340</v>
      </c>
      <c r="L119" s="35" t="s">
        <v>336</v>
      </c>
    </row>
    <row r="120">
      <c r="A120" s="49">
        <v>46183.53826388889</v>
      </c>
      <c r="B120" s="40">
        <v>46183.0</v>
      </c>
      <c r="C120" s="35">
        <v>1234.0</v>
      </c>
      <c r="D120" s="35" t="s">
        <v>72</v>
      </c>
      <c r="E120" s="35" t="s">
        <v>135</v>
      </c>
      <c r="F120" s="50">
        <v>200.0</v>
      </c>
      <c r="G120" s="50">
        <v>100000.0</v>
      </c>
      <c r="H120" s="50">
        <v>99800.0</v>
      </c>
      <c r="I120" s="36">
        <v>5587.0</v>
      </c>
      <c r="J120" s="35" t="s">
        <v>73</v>
      </c>
      <c r="K120" s="35" t="s">
        <v>340</v>
      </c>
      <c r="L120" s="35" t="s">
        <v>336</v>
      </c>
    </row>
    <row r="121">
      <c r="A121" s="49">
        <v>46183.549467592595</v>
      </c>
      <c r="B121" s="40">
        <v>46183.0</v>
      </c>
      <c r="C121" s="35">
        <v>1234.0</v>
      </c>
      <c r="D121" s="35" t="s">
        <v>72</v>
      </c>
      <c r="E121" s="35" t="s">
        <v>135</v>
      </c>
      <c r="F121" s="50">
        <v>200.0</v>
      </c>
      <c r="G121" s="50">
        <v>99800.0</v>
      </c>
      <c r="H121" s="50">
        <v>99600.0</v>
      </c>
      <c r="I121" s="36">
        <v>5587.0</v>
      </c>
      <c r="J121" s="35" t="s">
        <v>73</v>
      </c>
      <c r="K121" s="35" t="s">
        <v>340</v>
      </c>
      <c r="L121" s="35" t="s">
        <v>336</v>
      </c>
    </row>
    <row r="122">
      <c r="A122" s="49">
        <v>46183.54954861111</v>
      </c>
      <c r="B122" s="40">
        <v>46183.0</v>
      </c>
      <c r="C122" s="35">
        <v>1234.0</v>
      </c>
      <c r="D122" s="35" t="s">
        <v>72</v>
      </c>
      <c r="E122" s="35" t="s">
        <v>48</v>
      </c>
      <c r="F122" s="50">
        <v>0.0</v>
      </c>
      <c r="G122" s="50">
        <v>99600.0</v>
      </c>
      <c r="H122" s="50">
        <v>99600.0</v>
      </c>
      <c r="I122" s="35">
        <v>5587.0</v>
      </c>
      <c r="J122" s="35" t="s">
        <v>73</v>
      </c>
      <c r="K122" s="35" t="s">
        <v>75</v>
      </c>
      <c r="L122" s="35" t="s">
        <v>76</v>
      </c>
    </row>
    <row r="123">
      <c r="A123" s="49">
        <v>46183.553935185184</v>
      </c>
      <c r="B123" s="40">
        <v>46183.0</v>
      </c>
      <c r="C123" s="35">
        <v>7302.0</v>
      </c>
      <c r="D123" s="35" t="s">
        <v>278</v>
      </c>
      <c r="E123" s="35" t="s">
        <v>135</v>
      </c>
      <c r="F123" s="50">
        <v>200.0</v>
      </c>
      <c r="G123" s="50">
        <v>1000.0</v>
      </c>
      <c r="H123" s="50">
        <v>800.0</v>
      </c>
      <c r="I123" s="36">
        <v>5587.0</v>
      </c>
      <c r="J123" s="35" t="s">
        <v>73</v>
      </c>
      <c r="K123" s="35" t="s">
        <v>340</v>
      </c>
      <c r="L123" s="35" t="s">
        <v>336</v>
      </c>
    </row>
    <row r="124">
      <c r="A124" s="49">
        <v>46183.55417824074</v>
      </c>
      <c r="B124" s="40">
        <v>46183.0</v>
      </c>
      <c r="C124" s="35">
        <v>3466.0</v>
      </c>
      <c r="D124" s="35" t="s">
        <v>79</v>
      </c>
      <c r="E124" s="35" t="s">
        <v>135</v>
      </c>
      <c r="F124" s="50">
        <v>100.0</v>
      </c>
      <c r="G124" s="50">
        <v>1000.0</v>
      </c>
      <c r="H124" s="50">
        <v>900.0</v>
      </c>
      <c r="I124" s="36">
        <v>9965.0</v>
      </c>
      <c r="J124" s="35" t="s">
        <v>81</v>
      </c>
      <c r="K124" s="35" t="s">
        <v>340</v>
      </c>
      <c r="L124" s="35" t="s">
        <v>336</v>
      </c>
    </row>
    <row r="125">
      <c r="A125" s="49">
        <v>46183.554444444446</v>
      </c>
      <c r="B125" s="40">
        <v>46183.0</v>
      </c>
      <c r="C125" s="35">
        <v>7302.0</v>
      </c>
      <c r="D125" s="35" t="s">
        <v>278</v>
      </c>
      <c r="E125" s="35" t="s">
        <v>135</v>
      </c>
      <c r="F125" s="50">
        <v>100.0</v>
      </c>
      <c r="G125" s="50">
        <v>800.0</v>
      </c>
      <c r="H125" s="50">
        <v>700.0</v>
      </c>
      <c r="I125" s="36">
        <v>2241.0</v>
      </c>
      <c r="J125" s="35" t="s">
        <v>341</v>
      </c>
      <c r="K125" s="35" t="s">
        <v>340</v>
      </c>
      <c r="L125" s="35" t="s">
        <v>336</v>
      </c>
    </row>
    <row r="126">
      <c r="A126" s="49">
        <v>46183.555289351854</v>
      </c>
      <c r="B126" s="40">
        <v>46183.0</v>
      </c>
      <c r="C126" s="35">
        <v>8300.0</v>
      </c>
      <c r="D126" s="35" t="s">
        <v>283</v>
      </c>
      <c r="E126" s="35" t="s">
        <v>135</v>
      </c>
      <c r="F126" s="50">
        <v>200.0</v>
      </c>
      <c r="G126" s="50">
        <v>492.94</v>
      </c>
      <c r="H126" s="50">
        <v>292.94</v>
      </c>
      <c r="I126" s="36">
        <v>3313.0</v>
      </c>
      <c r="J126" s="51" t="s">
        <v>88</v>
      </c>
      <c r="K126" s="35" t="s">
        <v>340</v>
      </c>
      <c r="L126" s="35" t="s">
        <v>336</v>
      </c>
    </row>
    <row r="127">
      <c r="A127" s="49">
        <v>46183.555497685185</v>
      </c>
      <c r="B127" s="40">
        <v>46183.0</v>
      </c>
      <c r="C127" s="35">
        <v>7302.0</v>
      </c>
      <c r="D127" s="35" t="s">
        <v>278</v>
      </c>
      <c r="E127" s="35" t="s">
        <v>135</v>
      </c>
      <c r="F127" s="50">
        <v>200.0</v>
      </c>
      <c r="G127" s="50">
        <v>700.0</v>
      </c>
      <c r="H127" s="50">
        <v>500.0</v>
      </c>
      <c r="I127" s="36">
        <v>5587.0</v>
      </c>
      <c r="J127" s="35" t="s">
        <v>73</v>
      </c>
      <c r="K127" s="35" t="s">
        <v>340</v>
      </c>
      <c r="L127" s="35" t="s">
        <v>336</v>
      </c>
    </row>
    <row r="128">
      <c r="A128" s="49">
        <v>46183.556435185186</v>
      </c>
      <c r="B128" s="40">
        <v>46183.0</v>
      </c>
      <c r="C128" s="35">
        <v>7302.0</v>
      </c>
      <c r="D128" s="35" t="s">
        <v>278</v>
      </c>
      <c r="E128" s="35" t="s">
        <v>135</v>
      </c>
      <c r="F128" s="50">
        <v>400.0</v>
      </c>
      <c r="G128" s="50">
        <v>500.0</v>
      </c>
      <c r="H128" s="50">
        <v>100.0</v>
      </c>
      <c r="I128" s="36">
        <v>5587.0</v>
      </c>
      <c r="J128" s="35" t="s">
        <v>73</v>
      </c>
      <c r="K128" s="35" t="s">
        <v>340</v>
      </c>
      <c r="L128" s="35" t="s">
        <v>336</v>
      </c>
    </row>
    <row r="129">
      <c r="A129" s="49">
        <v>46183.556805555556</v>
      </c>
      <c r="B129" s="40">
        <v>46183.0</v>
      </c>
      <c r="C129" s="35">
        <v>7302.0</v>
      </c>
      <c r="D129" s="35" t="s">
        <v>278</v>
      </c>
      <c r="E129" s="35" t="s">
        <v>135</v>
      </c>
      <c r="F129" s="50">
        <v>100.0</v>
      </c>
      <c r="G129" s="50">
        <v>100.0</v>
      </c>
      <c r="H129" s="50">
        <v>0.0</v>
      </c>
      <c r="I129" s="36">
        <v>6655.0</v>
      </c>
      <c r="J129" s="35" t="s">
        <v>90</v>
      </c>
      <c r="K129" s="35" t="s">
        <v>340</v>
      </c>
      <c r="L129" s="35" t="s">
        <v>336</v>
      </c>
    </row>
    <row r="130">
      <c r="A130" s="49">
        <v>46183.562789351854</v>
      </c>
      <c r="B130" s="40">
        <v>46183.0</v>
      </c>
      <c r="C130" s="35">
        <v>1234.0</v>
      </c>
      <c r="D130" s="35" t="s">
        <v>72</v>
      </c>
      <c r="E130" s="35" t="s">
        <v>48</v>
      </c>
      <c r="F130" s="50">
        <v>0.0</v>
      </c>
      <c r="G130" s="50">
        <v>99318.24</v>
      </c>
      <c r="H130" s="50">
        <v>99318.24</v>
      </c>
      <c r="I130" s="35">
        <v>5587.0</v>
      </c>
      <c r="J130" s="35" t="s">
        <v>73</v>
      </c>
      <c r="K130" s="35" t="s">
        <v>77</v>
      </c>
      <c r="L130" s="35" t="s">
        <v>76</v>
      </c>
    </row>
    <row r="131">
      <c r="A131" s="49">
        <v>46183.570289351854</v>
      </c>
      <c r="B131" s="40">
        <v>46183.0</v>
      </c>
      <c r="C131" s="35">
        <v>1234.0</v>
      </c>
      <c r="D131" s="35" t="s">
        <v>72</v>
      </c>
      <c r="E131" s="35" t="s">
        <v>48</v>
      </c>
      <c r="F131" s="50">
        <v>0.0</v>
      </c>
      <c r="G131" s="50">
        <v>99087.6</v>
      </c>
      <c r="H131" s="50">
        <v>99087.6</v>
      </c>
      <c r="I131" s="35">
        <v>5587.0</v>
      </c>
      <c r="J131" s="35" t="s">
        <v>73</v>
      </c>
      <c r="K131" s="35" t="s">
        <v>342</v>
      </c>
      <c r="L131" s="35" t="s">
        <v>76</v>
      </c>
    </row>
    <row r="132">
      <c r="A132" s="49">
        <v>46183.570763888885</v>
      </c>
      <c r="B132" s="40">
        <v>46183.0</v>
      </c>
      <c r="C132" s="35">
        <v>1234.0</v>
      </c>
      <c r="D132" s="35" t="s">
        <v>72</v>
      </c>
      <c r="E132" s="35" t="s">
        <v>48</v>
      </c>
      <c r="F132" s="50">
        <v>0.0</v>
      </c>
      <c r="G132" s="50">
        <v>99087.6</v>
      </c>
      <c r="H132" s="50">
        <v>99087.6</v>
      </c>
      <c r="I132" s="35">
        <v>5587.0</v>
      </c>
      <c r="J132" s="35" t="s">
        <v>73</v>
      </c>
      <c r="K132" s="35" t="s">
        <v>342</v>
      </c>
      <c r="L132" s="35" t="s">
        <v>76</v>
      </c>
    </row>
    <row r="133">
      <c r="A133" s="49">
        <v>46183.574375</v>
      </c>
      <c r="B133" s="40">
        <v>46183.0</v>
      </c>
      <c r="C133" s="35">
        <v>1234.0</v>
      </c>
      <c r="D133" s="35" t="s">
        <v>72</v>
      </c>
      <c r="E133" s="35" t="s">
        <v>48</v>
      </c>
      <c r="F133" s="50">
        <v>0.0</v>
      </c>
      <c r="G133" s="50">
        <v>99087.6</v>
      </c>
      <c r="H133" s="50">
        <v>99087.6</v>
      </c>
      <c r="I133" s="35">
        <v>5587.0</v>
      </c>
      <c r="J133" s="35" t="s">
        <v>73</v>
      </c>
      <c r="K133" s="35" t="s">
        <v>343</v>
      </c>
      <c r="L133" s="35" t="s">
        <v>78</v>
      </c>
    </row>
    <row r="134">
      <c r="A134" s="49">
        <v>46183.57457175926</v>
      </c>
      <c r="B134" s="40">
        <v>46183.0</v>
      </c>
      <c r="C134" s="35">
        <v>1234.0</v>
      </c>
      <c r="D134" s="35" t="s">
        <v>72</v>
      </c>
      <c r="E134" s="35" t="s">
        <v>48</v>
      </c>
      <c r="F134" s="50">
        <v>0.0</v>
      </c>
      <c r="G134" s="50">
        <v>99087.6</v>
      </c>
      <c r="H134" s="50">
        <v>99087.6</v>
      </c>
      <c r="I134" s="35">
        <v>5587.0</v>
      </c>
      <c r="J134" s="35" t="s">
        <v>73</v>
      </c>
      <c r="K134" s="35" t="s">
        <v>343</v>
      </c>
      <c r="L134" s="35" t="s">
        <v>78</v>
      </c>
    </row>
    <row r="135">
      <c r="A135" s="49">
        <v>46183.57497685185</v>
      </c>
      <c r="B135" s="40">
        <v>46183.0</v>
      </c>
      <c r="C135" s="35">
        <v>3466.0</v>
      </c>
      <c r="D135" s="35" t="s">
        <v>79</v>
      </c>
      <c r="E135" s="35" t="s">
        <v>48</v>
      </c>
      <c r="F135" s="50">
        <v>0.0</v>
      </c>
      <c r="G135" s="50">
        <v>1.97</v>
      </c>
      <c r="H135" s="50">
        <v>1.97</v>
      </c>
      <c r="I135" s="35">
        <v>9965.0</v>
      </c>
      <c r="J135" s="35" t="s">
        <v>81</v>
      </c>
      <c r="K135" s="35" t="s">
        <v>83</v>
      </c>
      <c r="L135" s="35" t="s">
        <v>78</v>
      </c>
    </row>
    <row r="136">
      <c r="A136" s="49">
        <v>46183.58008101852</v>
      </c>
      <c r="B136" s="40">
        <v>46183.0</v>
      </c>
      <c r="C136" s="35">
        <v>1234.0</v>
      </c>
      <c r="D136" s="35" t="s">
        <v>72</v>
      </c>
      <c r="E136" s="35" t="s">
        <v>135</v>
      </c>
      <c r="F136" s="50">
        <v>200.0</v>
      </c>
      <c r="G136" s="50">
        <v>99087.6</v>
      </c>
      <c r="H136" s="50">
        <v>98887.6</v>
      </c>
      <c r="I136" s="35">
        <v>5587.0</v>
      </c>
      <c r="J136" s="35" t="s">
        <v>73</v>
      </c>
      <c r="K136" s="35" t="s">
        <v>340</v>
      </c>
      <c r="L136" s="35" t="s">
        <v>336</v>
      </c>
    </row>
    <row r="137">
      <c r="A137" s="49">
        <v>46183.58710648148</v>
      </c>
      <c r="B137" s="40">
        <v>46183.0</v>
      </c>
      <c r="C137" s="35">
        <v>4647.0</v>
      </c>
      <c r="D137" s="35" t="s">
        <v>84</v>
      </c>
      <c r="E137" s="35" t="s">
        <v>135</v>
      </c>
      <c r="F137" s="50">
        <v>200.0</v>
      </c>
      <c r="G137" s="50">
        <v>1000.0</v>
      </c>
      <c r="H137" s="50">
        <v>800.0</v>
      </c>
      <c r="I137" s="35">
        <v>5587.0</v>
      </c>
      <c r="J137" s="35" t="s">
        <v>73</v>
      </c>
      <c r="K137" s="35" t="s">
        <v>340</v>
      </c>
      <c r="L137" s="35" t="s">
        <v>336</v>
      </c>
    </row>
    <row r="138">
      <c r="A138" s="49">
        <v>46183.58734953704</v>
      </c>
      <c r="B138" s="40">
        <v>46183.0</v>
      </c>
      <c r="C138" s="35">
        <v>4647.0</v>
      </c>
      <c r="D138" s="35" t="s">
        <v>84</v>
      </c>
      <c r="E138" s="35" t="s">
        <v>135</v>
      </c>
      <c r="F138" s="50">
        <v>200.0</v>
      </c>
      <c r="G138" s="50">
        <v>800.0</v>
      </c>
      <c r="H138" s="50">
        <v>600.0</v>
      </c>
      <c r="I138" s="35">
        <v>2241.0</v>
      </c>
      <c r="J138" s="35" t="s">
        <v>341</v>
      </c>
      <c r="K138" s="35" t="s">
        <v>340</v>
      </c>
      <c r="L138" s="35" t="s">
        <v>336</v>
      </c>
    </row>
    <row r="139">
      <c r="A139" s="49">
        <v>46183.587800925925</v>
      </c>
      <c r="B139" s="40">
        <v>46183.0</v>
      </c>
      <c r="C139" s="35">
        <v>4647.0</v>
      </c>
      <c r="D139" s="35" t="s">
        <v>84</v>
      </c>
      <c r="E139" s="35" t="s">
        <v>135</v>
      </c>
      <c r="F139" s="50">
        <v>500.0</v>
      </c>
      <c r="G139" s="50">
        <v>600.0</v>
      </c>
      <c r="H139" s="50">
        <v>100.0</v>
      </c>
      <c r="I139" s="35">
        <v>3487.0</v>
      </c>
      <c r="J139" s="35" t="s">
        <v>344</v>
      </c>
      <c r="K139" s="35" t="s">
        <v>340</v>
      </c>
      <c r="L139" s="35" t="s">
        <v>336</v>
      </c>
    </row>
    <row r="140">
      <c r="A140" s="49">
        <v>46183.587916666664</v>
      </c>
      <c r="B140" s="40">
        <v>46183.0</v>
      </c>
      <c r="C140" s="35">
        <v>7920.0</v>
      </c>
      <c r="D140" s="35" t="s">
        <v>310</v>
      </c>
      <c r="E140" s="35" t="s">
        <v>135</v>
      </c>
      <c r="F140" s="50">
        <v>100.0</v>
      </c>
      <c r="G140" s="50">
        <v>1000.0</v>
      </c>
      <c r="H140" s="50">
        <v>900.0</v>
      </c>
      <c r="I140" s="35">
        <v>6655.0</v>
      </c>
      <c r="J140" s="35" t="s">
        <v>90</v>
      </c>
      <c r="K140" s="35" t="s">
        <v>340</v>
      </c>
      <c r="L140" s="35" t="s">
        <v>336</v>
      </c>
    </row>
    <row r="141">
      <c r="A141" s="49">
        <v>46183.58868055556</v>
      </c>
      <c r="B141" s="40">
        <v>46183.0</v>
      </c>
      <c r="C141" s="35">
        <v>4647.0</v>
      </c>
      <c r="D141" s="35" t="s">
        <v>84</v>
      </c>
      <c r="E141" s="35" t="s">
        <v>48</v>
      </c>
      <c r="F141" s="50">
        <v>0.0</v>
      </c>
      <c r="G141" s="50">
        <v>100.0</v>
      </c>
      <c r="H141" s="50">
        <v>100.0</v>
      </c>
      <c r="I141" s="35">
        <v>5587.0</v>
      </c>
      <c r="J141" s="35" t="s">
        <v>73</v>
      </c>
      <c r="K141" s="35" t="s">
        <v>343</v>
      </c>
      <c r="L141" s="35" t="s">
        <v>78</v>
      </c>
    </row>
    <row r="142">
      <c r="A142" s="49">
        <v>46183.64454861111</v>
      </c>
      <c r="B142" s="40">
        <v>46183.0</v>
      </c>
      <c r="C142" s="35">
        <v>1234.0</v>
      </c>
      <c r="D142" s="35" t="s">
        <v>72</v>
      </c>
      <c r="E142" s="35" t="s">
        <v>48</v>
      </c>
      <c r="F142" s="50">
        <v>0.0</v>
      </c>
      <c r="G142" s="50">
        <v>98887.6</v>
      </c>
      <c r="H142" s="50">
        <v>98887.6</v>
      </c>
      <c r="I142" s="35">
        <v>5587.0</v>
      </c>
      <c r="J142" s="35" t="s">
        <v>73</v>
      </c>
      <c r="K142" s="35" t="s">
        <v>85</v>
      </c>
      <c r="L142" s="35" t="s">
        <v>78</v>
      </c>
    </row>
    <row r="143">
      <c r="A143" s="49">
        <v>46183.64991898148</v>
      </c>
      <c r="B143" s="40">
        <v>46183.0</v>
      </c>
      <c r="C143" s="35">
        <v>2233.0</v>
      </c>
      <c r="D143" s="35" t="s">
        <v>86</v>
      </c>
      <c r="E143" s="35" t="s">
        <v>135</v>
      </c>
      <c r="F143" s="50">
        <v>500.0</v>
      </c>
      <c r="G143" s="50">
        <v>2000.0</v>
      </c>
      <c r="H143" s="50">
        <v>1500.0</v>
      </c>
      <c r="I143" s="35">
        <v>3313.0</v>
      </c>
      <c r="J143" s="51" t="s">
        <v>88</v>
      </c>
      <c r="K143" s="35" t="s">
        <v>340</v>
      </c>
      <c r="L143" s="35" t="s">
        <v>336</v>
      </c>
    </row>
    <row r="144">
      <c r="A144" s="49">
        <v>46183.6503125</v>
      </c>
      <c r="B144" s="40">
        <v>46183.0</v>
      </c>
      <c r="C144" s="35">
        <v>2233.0</v>
      </c>
      <c r="D144" s="35" t="s">
        <v>86</v>
      </c>
      <c r="E144" s="35" t="s">
        <v>48</v>
      </c>
      <c r="F144" s="50">
        <v>0.0</v>
      </c>
      <c r="G144" s="50">
        <v>1500.0</v>
      </c>
      <c r="H144" s="50">
        <v>1500.0</v>
      </c>
      <c r="I144" s="35">
        <v>3313.0</v>
      </c>
      <c r="J144" s="51" t="s">
        <v>88</v>
      </c>
      <c r="K144" s="35" t="s">
        <v>89</v>
      </c>
      <c r="L144" s="35" t="s">
        <v>78</v>
      </c>
    </row>
    <row r="145">
      <c r="A145" s="49">
        <v>46183.65274305556</v>
      </c>
      <c r="B145" s="40">
        <v>46183.0</v>
      </c>
      <c r="C145" s="35">
        <v>1234.0</v>
      </c>
      <c r="D145" s="35" t="s">
        <v>72</v>
      </c>
      <c r="E145" s="35" t="s">
        <v>135</v>
      </c>
      <c r="F145" s="50">
        <v>100.0</v>
      </c>
      <c r="G145" s="50">
        <v>98887.6</v>
      </c>
      <c r="H145" s="50">
        <v>98787.6</v>
      </c>
      <c r="I145" s="35">
        <v>6655.0</v>
      </c>
      <c r="J145" s="35" t="s">
        <v>90</v>
      </c>
      <c r="K145" s="35" t="s">
        <v>340</v>
      </c>
      <c r="L145" s="35" t="s">
        <v>336</v>
      </c>
    </row>
    <row r="146">
      <c r="A146" s="49">
        <v>46183.653969907406</v>
      </c>
      <c r="B146" s="40">
        <v>46183.0</v>
      </c>
      <c r="C146" s="35">
        <v>1234.0</v>
      </c>
      <c r="D146" s="35" t="s">
        <v>72</v>
      </c>
      <c r="E146" s="35" t="s">
        <v>135</v>
      </c>
      <c r="F146" s="50">
        <v>100.0</v>
      </c>
      <c r="G146" s="50">
        <v>98787.6</v>
      </c>
      <c r="H146" s="50">
        <v>98687.6</v>
      </c>
      <c r="I146" s="35">
        <v>3965.0</v>
      </c>
      <c r="J146" s="35" t="s">
        <v>91</v>
      </c>
      <c r="K146" s="35" t="s">
        <v>340</v>
      </c>
      <c r="L146" s="35" t="s">
        <v>336</v>
      </c>
    </row>
    <row r="147">
      <c r="A147" s="49">
        <v>46183.654131944444</v>
      </c>
      <c r="B147" s="40">
        <v>46183.0</v>
      </c>
      <c r="C147" s="35">
        <v>1234.0</v>
      </c>
      <c r="D147" s="35" t="s">
        <v>72</v>
      </c>
      <c r="E147" s="35" t="s">
        <v>48</v>
      </c>
      <c r="F147" s="50">
        <v>0.0</v>
      </c>
      <c r="G147" s="50">
        <v>98687.6</v>
      </c>
      <c r="H147" s="50">
        <v>98687.6</v>
      </c>
      <c r="I147" s="35">
        <v>6655.0</v>
      </c>
      <c r="J147" s="35" t="s">
        <v>90</v>
      </c>
      <c r="K147" s="35" t="s">
        <v>343</v>
      </c>
      <c r="L147" s="35" t="s">
        <v>78</v>
      </c>
    </row>
    <row r="148">
      <c r="A148" s="49">
        <v>46183.66287037037</v>
      </c>
      <c r="B148" s="40">
        <v>46183.0</v>
      </c>
      <c r="C148" s="35">
        <v>1234.0</v>
      </c>
      <c r="D148" s="35" t="s">
        <v>72</v>
      </c>
      <c r="E148" s="35" t="s">
        <v>135</v>
      </c>
      <c r="F148" s="50">
        <v>100.0</v>
      </c>
      <c r="G148" s="50">
        <v>98687.6</v>
      </c>
      <c r="H148" s="50">
        <v>98587.6</v>
      </c>
      <c r="I148" s="35">
        <v>7898.0</v>
      </c>
      <c r="J148" s="35" t="s">
        <v>101</v>
      </c>
      <c r="K148" s="35" t="s">
        <v>340</v>
      </c>
      <c r="L148" s="35" t="s">
        <v>336</v>
      </c>
    </row>
    <row r="149">
      <c r="A149" s="49">
        <v>46183.66353009259</v>
      </c>
      <c r="B149" s="40">
        <v>46183.0</v>
      </c>
      <c r="C149" s="35">
        <v>1234.0</v>
      </c>
      <c r="D149" s="35" t="s">
        <v>72</v>
      </c>
      <c r="E149" s="35" t="s">
        <v>135</v>
      </c>
      <c r="F149" s="50">
        <v>100.0</v>
      </c>
      <c r="G149" s="50">
        <v>98587.6</v>
      </c>
      <c r="H149" s="50">
        <v>98487.6</v>
      </c>
      <c r="I149" s="35">
        <v>3965.0</v>
      </c>
      <c r="J149" s="35" t="s">
        <v>91</v>
      </c>
      <c r="K149" s="35" t="s">
        <v>340</v>
      </c>
      <c r="L149" s="35" t="s">
        <v>336</v>
      </c>
    </row>
    <row r="150">
      <c r="A150" s="49">
        <v>46183.870625</v>
      </c>
      <c r="B150" s="40">
        <v>46183.0</v>
      </c>
      <c r="C150" s="35">
        <v>1234.0</v>
      </c>
      <c r="D150" s="35" t="s">
        <v>72</v>
      </c>
      <c r="E150" s="35" t="s">
        <v>48</v>
      </c>
      <c r="F150" s="50">
        <v>0.0</v>
      </c>
      <c r="G150" s="50">
        <v>98487.6</v>
      </c>
      <c r="H150" s="50">
        <v>98487.6</v>
      </c>
      <c r="I150" s="35">
        <v>3965.0</v>
      </c>
      <c r="J150" s="35" t="s">
        <v>91</v>
      </c>
      <c r="K150" s="35" t="s">
        <v>343</v>
      </c>
      <c r="L150" s="35" t="s">
        <v>78</v>
      </c>
    </row>
    <row r="151">
      <c r="A151" s="49">
        <v>46183.870787037034</v>
      </c>
      <c r="B151" s="40">
        <v>46183.0</v>
      </c>
      <c r="C151" s="35">
        <v>1234.0</v>
      </c>
      <c r="D151" s="35" t="s">
        <v>72</v>
      </c>
      <c r="E151" s="35" t="s">
        <v>48</v>
      </c>
      <c r="F151" s="50">
        <v>0.0</v>
      </c>
      <c r="G151" s="50">
        <v>98487.6</v>
      </c>
      <c r="H151" s="50">
        <v>98487.6</v>
      </c>
      <c r="I151" s="35">
        <v>3965.0</v>
      </c>
      <c r="J151" s="35" t="s">
        <v>91</v>
      </c>
      <c r="K151" s="35" t="s">
        <v>343</v>
      </c>
      <c r="L151" s="35" t="s">
        <v>78</v>
      </c>
    </row>
    <row r="152">
      <c r="A152" s="49">
        <v>46184.346041666664</v>
      </c>
      <c r="B152" s="40">
        <v>46184.0</v>
      </c>
      <c r="C152" s="35" t="s">
        <v>97</v>
      </c>
      <c r="D152" s="35" t="s">
        <v>98</v>
      </c>
      <c r="E152" s="35" t="s">
        <v>167</v>
      </c>
      <c r="F152" s="50">
        <v>10.0</v>
      </c>
      <c r="G152" s="50">
        <v>610.0</v>
      </c>
      <c r="H152" s="50">
        <v>620.0</v>
      </c>
      <c r="I152" s="35"/>
      <c r="J152" s="35"/>
      <c r="K152" s="35" t="s">
        <v>335</v>
      </c>
      <c r="L152" s="35" t="s">
        <v>336</v>
      </c>
    </row>
    <row r="153">
      <c r="A153" s="49">
        <v>46184.35113425926</v>
      </c>
      <c r="B153" s="40">
        <v>46184.0</v>
      </c>
      <c r="C153" s="35" t="s">
        <v>251</v>
      </c>
      <c r="D153" s="35" t="s">
        <v>252</v>
      </c>
      <c r="E153" s="35" t="s">
        <v>167</v>
      </c>
      <c r="F153" s="50">
        <v>10.0</v>
      </c>
      <c r="G153" s="50">
        <v>343.79</v>
      </c>
      <c r="H153" s="50">
        <v>353.79</v>
      </c>
      <c r="I153" s="35"/>
      <c r="J153" s="35"/>
      <c r="K153" s="35" t="s">
        <v>335</v>
      </c>
      <c r="L153" s="35" t="s">
        <v>336</v>
      </c>
    </row>
    <row r="154">
      <c r="A154" s="49">
        <v>46184.35230324074</v>
      </c>
      <c r="B154" s="40">
        <v>46184.0</v>
      </c>
      <c r="C154" s="35" t="s">
        <v>243</v>
      </c>
      <c r="D154" s="35" t="s">
        <v>244</v>
      </c>
      <c r="E154" s="35" t="s">
        <v>167</v>
      </c>
      <c r="F154" s="50">
        <v>10.0</v>
      </c>
      <c r="G154" s="50">
        <v>305.16</v>
      </c>
      <c r="H154" s="50">
        <v>315.16</v>
      </c>
      <c r="I154" s="35"/>
      <c r="J154" s="35"/>
      <c r="K154" s="35" t="s">
        <v>335</v>
      </c>
      <c r="L154" s="35" t="s">
        <v>336</v>
      </c>
    </row>
    <row r="155">
      <c r="A155" s="49">
        <v>46184.353784722225</v>
      </c>
      <c r="B155" s="40">
        <v>46184.0</v>
      </c>
      <c r="C155" s="35" t="s">
        <v>92</v>
      </c>
      <c r="D155" s="35" t="s">
        <v>93</v>
      </c>
      <c r="E155" s="35" t="s">
        <v>167</v>
      </c>
      <c r="F155" s="50">
        <v>10.0</v>
      </c>
      <c r="G155" s="50">
        <v>497.76</v>
      </c>
      <c r="H155" s="50">
        <v>507.76</v>
      </c>
      <c r="I155" s="35"/>
      <c r="J155" s="35"/>
      <c r="K155" s="35" t="s">
        <v>335</v>
      </c>
      <c r="L155" s="35" t="s">
        <v>336</v>
      </c>
    </row>
    <row r="156">
      <c r="A156" s="49">
        <v>46184.35427083333</v>
      </c>
      <c r="B156" s="40">
        <v>46184.0</v>
      </c>
      <c r="C156" s="35" t="s">
        <v>253</v>
      </c>
      <c r="D156" s="35" t="s">
        <v>254</v>
      </c>
      <c r="E156" s="35" t="s">
        <v>167</v>
      </c>
      <c r="F156" s="50">
        <v>10.0</v>
      </c>
      <c r="G156" s="50">
        <v>74.8</v>
      </c>
      <c r="H156" s="50">
        <v>84.8</v>
      </c>
      <c r="I156" s="35"/>
      <c r="J156" s="35"/>
      <c r="K156" s="35" t="s">
        <v>335</v>
      </c>
      <c r="L156" s="35" t="s">
        <v>336</v>
      </c>
    </row>
    <row r="157">
      <c r="A157" s="49">
        <v>46184.35596064815</v>
      </c>
      <c r="B157" s="40">
        <v>46184.0</v>
      </c>
      <c r="C157" s="35" t="s">
        <v>249</v>
      </c>
      <c r="D157" s="35" t="s">
        <v>250</v>
      </c>
      <c r="E157" s="35" t="s">
        <v>167</v>
      </c>
      <c r="F157" s="50">
        <v>10.0</v>
      </c>
      <c r="G157" s="50">
        <v>606.0</v>
      </c>
      <c r="H157" s="50">
        <v>616.0</v>
      </c>
      <c r="I157" s="35"/>
      <c r="J157" s="35"/>
      <c r="K157" s="35" t="s">
        <v>335</v>
      </c>
      <c r="L157" s="35" t="s">
        <v>336</v>
      </c>
    </row>
    <row r="158">
      <c r="A158" s="49">
        <v>46184.3566087963</v>
      </c>
      <c r="B158" s="40">
        <v>46184.0</v>
      </c>
      <c r="C158" s="35" t="s">
        <v>240</v>
      </c>
      <c r="D158" s="35" t="s">
        <v>241</v>
      </c>
      <c r="E158" s="35" t="s">
        <v>167</v>
      </c>
      <c r="F158" s="50">
        <v>10.0</v>
      </c>
      <c r="G158" s="50">
        <v>331.98</v>
      </c>
      <c r="H158" s="50">
        <v>341.98</v>
      </c>
      <c r="I158" s="35"/>
      <c r="J158" s="35"/>
      <c r="K158" s="35" t="s">
        <v>335</v>
      </c>
      <c r="L158" s="35" t="s">
        <v>336</v>
      </c>
    </row>
    <row r="159">
      <c r="A159" s="49">
        <v>46184.357395833336</v>
      </c>
      <c r="B159" s="40">
        <v>46184.0</v>
      </c>
      <c r="C159" s="35" t="s">
        <v>103</v>
      </c>
      <c r="D159" s="35" t="s">
        <v>104</v>
      </c>
      <c r="E159" s="35" t="s">
        <v>167</v>
      </c>
      <c r="F159" s="50">
        <v>10.0</v>
      </c>
      <c r="G159" s="50">
        <v>585.0</v>
      </c>
      <c r="H159" s="50">
        <v>595.0</v>
      </c>
      <c r="I159" s="35"/>
      <c r="J159" s="35"/>
      <c r="K159" s="35" t="s">
        <v>335</v>
      </c>
      <c r="L159" s="35" t="s">
        <v>336</v>
      </c>
    </row>
    <row r="160">
      <c r="A160" s="49">
        <v>46184.35769675926</v>
      </c>
      <c r="B160" s="40">
        <v>46184.0</v>
      </c>
      <c r="C160" s="35" t="s">
        <v>247</v>
      </c>
      <c r="D160" s="35" t="s">
        <v>248</v>
      </c>
      <c r="E160" s="35" t="s">
        <v>167</v>
      </c>
      <c r="F160" s="50">
        <v>10.0</v>
      </c>
      <c r="G160" s="50">
        <v>726.29</v>
      </c>
      <c r="H160" s="50">
        <v>736.29</v>
      </c>
      <c r="I160" s="35"/>
      <c r="J160" s="35"/>
      <c r="K160" s="35" t="s">
        <v>335</v>
      </c>
      <c r="L160" s="35" t="s">
        <v>336</v>
      </c>
    </row>
    <row r="161">
      <c r="A161" s="49">
        <v>46184.40715277778</v>
      </c>
      <c r="B161" s="40">
        <v>46184.0</v>
      </c>
      <c r="C161" s="35">
        <v>3553.0</v>
      </c>
      <c r="D161" s="35" t="s">
        <v>313</v>
      </c>
      <c r="E161" s="35" t="s">
        <v>135</v>
      </c>
      <c r="F161" s="50">
        <v>100.0</v>
      </c>
      <c r="G161" s="50">
        <v>0.0</v>
      </c>
      <c r="H161" s="50">
        <v>0.0</v>
      </c>
      <c r="I161" s="35">
        <v>3965.0</v>
      </c>
      <c r="J161" s="35" t="s">
        <v>91</v>
      </c>
      <c r="K161" s="35" t="s">
        <v>345</v>
      </c>
      <c r="L161" s="35" t="s">
        <v>339</v>
      </c>
    </row>
    <row r="162">
      <c r="A162" s="49">
        <v>46184.44422453704</v>
      </c>
      <c r="B162" s="40">
        <v>46184.0</v>
      </c>
      <c r="C162" s="35" t="s">
        <v>97</v>
      </c>
      <c r="D162" s="35" t="s">
        <v>98</v>
      </c>
      <c r="E162" s="35" t="s">
        <v>162</v>
      </c>
      <c r="F162" s="50">
        <v>100.0</v>
      </c>
      <c r="G162" s="50">
        <v>620.0</v>
      </c>
      <c r="H162" s="50">
        <v>720.0</v>
      </c>
      <c r="I162" s="35"/>
      <c r="J162" s="35"/>
      <c r="K162" s="35"/>
      <c r="L162" s="35" t="s">
        <v>336</v>
      </c>
    </row>
    <row r="163">
      <c r="A163" s="49">
        <v>46184.44494212963</v>
      </c>
      <c r="B163" s="40">
        <v>46184.0</v>
      </c>
      <c r="C163" s="35" t="s">
        <v>92</v>
      </c>
      <c r="D163" s="35" t="s">
        <v>93</v>
      </c>
      <c r="E163" s="35" t="s">
        <v>135</v>
      </c>
      <c r="F163" s="50">
        <v>600.0</v>
      </c>
      <c r="G163" s="50">
        <v>639.83</v>
      </c>
      <c r="H163" s="50">
        <v>39.83</v>
      </c>
      <c r="I163" s="35">
        <v>7734.0</v>
      </c>
      <c r="J163" s="35" t="s">
        <v>95</v>
      </c>
      <c r="K163" s="35" t="s">
        <v>340</v>
      </c>
      <c r="L163" s="35" t="s">
        <v>336</v>
      </c>
    </row>
    <row r="164">
      <c r="A164" s="49">
        <v>46184.44567129629</v>
      </c>
      <c r="B164" s="40">
        <v>46184.0</v>
      </c>
      <c r="C164" s="35" t="s">
        <v>92</v>
      </c>
      <c r="D164" s="35" t="s">
        <v>93</v>
      </c>
      <c r="E164" s="35" t="s">
        <v>48</v>
      </c>
      <c r="F164" s="50">
        <v>0.0</v>
      </c>
      <c r="G164" s="50">
        <v>39.83</v>
      </c>
      <c r="H164" s="50">
        <v>39.83</v>
      </c>
      <c r="I164" s="35">
        <v>7734.0</v>
      </c>
      <c r="J164" s="35" t="s">
        <v>95</v>
      </c>
      <c r="K164" s="35" t="s">
        <v>96</v>
      </c>
      <c r="L164" s="35" t="s">
        <v>78</v>
      </c>
    </row>
    <row r="165">
      <c r="A165" s="49">
        <v>46184.44771990741</v>
      </c>
      <c r="B165" s="40">
        <v>46184.0</v>
      </c>
      <c r="C165" s="35" t="s">
        <v>97</v>
      </c>
      <c r="D165" s="35" t="s">
        <v>98</v>
      </c>
      <c r="E165" s="35" t="s">
        <v>135</v>
      </c>
      <c r="F165" s="50">
        <v>100.0</v>
      </c>
      <c r="G165" s="50">
        <v>720.0</v>
      </c>
      <c r="H165" s="50">
        <v>620.0</v>
      </c>
      <c r="I165" s="35">
        <v>7734.0</v>
      </c>
      <c r="J165" s="35" t="s">
        <v>95</v>
      </c>
      <c r="K165" s="35" t="s">
        <v>340</v>
      </c>
      <c r="L165" s="35" t="s">
        <v>336</v>
      </c>
    </row>
    <row r="166">
      <c r="A166" s="49">
        <v>46184.449108796296</v>
      </c>
      <c r="B166" s="40">
        <v>46184.0</v>
      </c>
      <c r="C166" s="35" t="s">
        <v>97</v>
      </c>
      <c r="D166" s="35" t="s">
        <v>98</v>
      </c>
      <c r="E166" s="35" t="s">
        <v>135</v>
      </c>
      <c r="F166" s="50">
        <v>200.0</v>
      </c>
      <c r="G166" s="50">
        <v>620.0</v>
      </c>
      <c r="H166" s="50">
        <v>420.0</v>
      </c>
      <c r="I166" s="35">
        <v>7734.0</v>
      </c>
      <c r="J166" s="35" t="s">
        <v>95</v>
      </c>
      <c r="K166" s="35" t="s">
        <v>340</v>
      </c>
      <c r="L166" s="35" t="s">
        <v>336</v>
      </c>
    </row>
    <row r="167">
      <c r="A167" s="49">
        <v>46184.44943287037</v>
      </c>
      <c r="B167" s="40">
        <v>46184.0</v>
      </c>
      <c r="C167" s="35" t="s">
        <v>97</v>
      </c>
      <c r="D167" s="35" t="s">
        <v>98</v>
      </c>
      <c r="E167" s="35" t="s">
        <v>48</v>
      </c>
      <c r="F167" s="50">
        <v>0.0</v>
      </c>
      <c r="G167" s="50">
        <v>420.0</v>
      </c>
      <c r="H167" s="50">
        <v>420.0</v>
      </c>
      <c r="I167" s="35">
        <v>7734.0</v>
      </c>
      <c r="J167" s="35" t="s">
        <v>95</v>
      </c>
      <c r="K167" s="35" t="s">
        <v>99</v>
      </c>
      <c r="L167" s="35" t="s">
        <v>78</v>
      </c>
    </row>
    <row r="168">
      <c r="A168" s="49">
        <v>46184.45011574074</v>
      </c>
      <c r="B168" s="40">
        <v>46184.0</v>
      </c>
      <c r="C168" s="35" t="s">
        <v>97</v>
      </c>
      <c r="D168" s="35" t="s">
        <v>98</v>
      </c>
      <c r="E168" s="35" t="s">
        <v>48</v>
      </c>
      <c r="F168" s="50">
        <v>0.0</v>
      </c>
      <c r="G168" s="50">
        <v>420.0</v>
      </c>
      <c r="H168" s="50">
        <v>420.0</v>
      </c>
      <c r="I168" s="35">
        <v>7734.0</v>
      </c>
      <c r="J168" s="35" t="s">
        <v>95</v>
      </c>
      <c r="K168" s="35" t="s">
        <v>100</v>
      </c>
      <c r="L168" s="35" t="s">
        <v>78</v>
      </c>
    </row>
    <row r="169">
      <c r="A169" s="49">
        <v>46184.45030092593</v>
      </c>
      <c r="B169" s="40">
        <v>46184.0</v>
      </c>
      <c r="C169" s="35" t="s">
        <v>97</v>
      </c>
      <c r="D169" s="35" t="s">
        <v>98</v>
      </c>
      <c r="E169" s="35" t="s">
        <v>48</v>
      </c>
      <c r="F169" s="50">
        <v>0.0</v>
      </c>
      <c r="G169" s="50">
        <v>420.0</v>
      </c>
      <c r="H169" s="50">
        <v>420.0</v>
      </c>
      <c r="I169" s="35">
        <v>7734.0</v>
      </c>
      <c r="J169" s="35" t="s">
        <v>95</v>
      </c>
      <c r="K169" s="35" t="s">
        <v>100</v>
      </c>
      <c r="L169" s="35" t="s">
        <v>78</v>
      </c>
    </row>
    <row r="170">
      <c r="A170" s="49">
        <v>46184.53056712963</v>
      </c>
      <c r="B170" s="40">
        <v>46184.0</v>
      </c>
      <c r="C170" s="35">
        <v>6665.0</v>
      </c>
      <c r="D170" s="35" t="s">
        <v>272</v>
      </c>
      <c r="E170" s="35" t="s">
        <v>135</v>
      </c>
      <c r="F170" s="50">
        <v>100.0</v>
      </c>
      <c r="G170" s="50">
        <v>1588.13</v>
      </c>
      <c r="H170" s="50">
        <v>1488.13</v>
      </c>
      <c r="I170" s="35">
        <v>7734.0</v>
      </c>
      <c r="J170" s="35" t="s">
        <v>95</v>
      </c>
      <c r="K170" s="35" t="s">
        <v>340</v>
      </c>
      <c r="L170" s="35" t="s">
        <v>336</v>
      </c>
    </row>
    <row r="171">
      <c r="A171" s="49">
        <v>46184.60606481481</v>
      </c>
      <c r="B171" s="40">
        <v>46184.0</v>
      </c>
      <c r="C171" s="35" t="s">
        <v>103</v>
      </c>
      <c r="D171" s="35" t="s">
        <v>104</v>
      </c>
      <c r="E171" s="35" t="s">
        <v>135</v>
      </c>
      <c r="F171" s="50">
        <v>1000.0</v>
      </c>
      <c r="G171" s="50">
        <v>1198.0</v>
      </c>
      <c r="H171" s="50">
        <v>198.0</v>
      </c>
      <c r="I171" s="35">
        <v>7734.0</v>
      </c>
      <c r="J171" s="35" t="s">
        <v>95</v>
      </c>
      <c r="K171" s="35" t="s">
        <v>340</v>
      </c>
      <c r="L171" s="35" t="s">
        <v>336</v>
      </c>
    </row>
    <row r="172">
      <c r="A172" s="49">
        <v>46184.64734953704</v>
      </c>
      <c r="B172" s="40">
        <v>46184.0</v>
      </c>
      <c r="C172" s="35">
        <v>1234.0</v>
      </c>
      <c r="D172" s="35" t="s">
        <v>72</v>
      </c>
      <c r="E172" s="35" t="s">
        <v>48</v>
      </c>
      <c r="F172" s="50">
        <v>0.0</v>
      </c>
      <c r="G172" s="50">
        <v>98487.6</v>
      </c>
      <c r="H172" s="50">
        <v>98487.6</v>
      </c>
      <c r="I172" s="35">
        <v>7898.0</v>
      </c>
      <c r="J172" s="35" t="s">
        <v>101</v>
      </c>
      <c r="K172" s="35" t="s">
        <v>343</v>
      </c>
      <c r="L172" s="35" t="s">
        <v>78</v>
      </c>
    </row>
    <row r="173">
      <c r="A173" s="49">
        <v>46184.64854166667</v>
      </c>
      <c r="B173" s="40">
        <v>46184.0</v>
      </c>
      <c r="C173" s="35">
        <v>1234.0</v>
      </c>
      <c r="D173" s="35" t="s">
        <v>72</v>
      </c>
      <c r="E173" s="35" t="s">
        <v>135</v>
      </c>
      <c r="F173" s="50">
        <v>100.0</v>
      </c>
      <c r="G173" s="50">
        <v>98487.6</v>
      </c>
      <c r="H173" s="50">
        <v>98387.6</v>
      </c>
      <c r="I173" s="35">
        <v>7734.0</v>
      </c>
      <c r="J173" s="35" t="s">
        <v>95</v>
      </c>
      <c r="K173" s="35" t="s">
        <v>340</v>
      </c>
      <c r="L173" s="35" t="s">
        <v>336</v>
      </c>
    </row>
    <row r="174">
      <c r="A174" s="49">
        <v>46184.65803240741</v>
      </c>
      <c r="B174" s="40">
        <v>46184.0</v>
      </c>
      <c r="C174" s="35">
        <v>1234.0</v>
      </c>
      <c r="D174" s="35" t="s">
        <v>72</v>
      </c>
      <c r="E174" s="35" t="s">
        <v>48</v>
      </c>
      <c r="F174" s="50">
        <v>0.0</v>
      </c>
      <c r="G174" s="50">
        <v>98387.6</v>
      </c>
      <c r="H174" s="50">
        <v>98387.6</v>
      </c>
      <c r="I174" s="35">
        <v>7734.0</v>
      </c>
      <c r="J174" s="35" t="s">
        <v>95</v>
      </c>
      <c r="K174" s="35" t="s">
        <v>343</v>
      </c>
      <c r="L174" s="35" t="s">
        <v>78</v>
      </c>
    </row>
    <row r="175">
      <c r="A175" s="49">
        <v>46185.34619212963</v>
      </c>
      <c r="B175" s="40">
        <v>46185.0</v>
      </c>
      <c r="C175" s="35" t="s">
        <v>97</v>
      </c>
      <c r="D175" s="35" t="s">
        <v>98</v>
      </c>
      <c r="E175" s="35" t="s">
        <v>167</v>
      </c>
      <c r="F175" s="50">
        <v>10.0</v>
      </c>
      <c r="G175" s="50">
        <v>420.0</v>
      </c>
      <c r="H175" s="50">
        <v>430.0</v>
      </c>
      <c r="I175" s="35"/>
      <c r="J175" s="35"/>
      <c r="K175" s="35" t="s">
        <v>335</v>
      </c>
      <c r="L175" s="35" t="s">
        <v>336</v>
      </c>
    </row>
    <row r="176">
      <c r="A176" s="49">
        <v>46185.34641203703</v>
      </c>
      <c r="B176" s="40">
        <v>46185.0</v>
      </c>
      <c r="C176" s="35" t="s">
        <v>247</v>
      </c>
      <c r="D176" s="35" t="s">
        <v>248</v>
      </c>
      <c r="E176" s="35" t="s">
        <v>167</v>
      </c>
      <c r="F176" s="50">
        <v>10.0</v>
      </c>
      <c r="G176" s="50">
        <v>473.88</v>
      </c>
      <c r="H176" s="50">
        <v>483.88</v>
      </c>
      <c r="I176" s="35"/>
      <c r="J176" s="35"/>
      <c r="K176" s="35" t="s">
        <v>335</v>
      </c>
      <c r="L176" s="35" t="s">
        <v>336</v>
      </c>
    </row>
    <row r="177">
      <c r="A177" s="49">
        <v>46185.35123842592</v>
      </c>
      <c r="B177" s="40">
        <v>46185.0</v>
      </c>
      <c r="C177" s="35" t="s">
        <v>92</v>
      </c>
      <c r="D177" s="35" t="s">
        <v>93</v>
      </c>
      <c r="E177" s="35" t="s">
        <v>167</v>
      </c>
      <c r="F177" s="50">
        <v>10.0</v>
      </c>
      <c r="G177" s="50">
        <v>39.83</v>
      </c>
      <c r="H177" s="50">
        <v>49.83</v>
      </c>
      <c r="I177" s="35"/>
      <c r="J177" s="35"/>
      <c r="K177" s="35" t="s">
        <v>335</v>
      </c>
      <c r="L177" s="35" t="s">
        <v>336</v>
      </c>
    </row>
    <row r="178">
      <c r="A178" s="49">
        <v>46185.35445601852</v>
      </c>
      <c r="B178" s="40">
        <v>46185.0</v>
      </c>
      <c r="C178" s="35" t="s">
        <v>243</v>
      </c>
      <c r="D178" s="35" t="s">
        <v>244</v>
      </c>
      <c r="E178" s="35" t="s">
        <v>167</v>
      </c>
      <c r="F178" s="50">
        <v>10.0</v>
      </c>
      <c r="G178" s="50">
        <v>224.86</v>
      </c>
      <c r="H178" s="50">
        <v>234.86</v>
      </c>
      <c r="I178" s="35"/>
      <c r="J178" s="35"/>
      <c r="K178" s="35" t="s">
        <v>335</v>
      </c>
      <c r="L178" s="35" t="s">
        <v>336</v>
      </c>
    </row>
    <row r="179">
      <c r="A179" s="49">
        <v>46185.35493055556</v>
      </c>
      <c r="B179" s="40">
        <v>46185.0</v>
      </c>
      <c r="C179" s="35" t="s">
        <v>253</v>
      </c>
      <c r="D179" s="35" t="s">
        <v>254</v>
      </c>
      <c r="E179" s="35" t="s">
        <v>167</v>
      </c>
      <c r="F179" s="50">
        <v>10.0</v>
      </c>
      <c r="G179" s="50">
        <v>73.9</v>
      </c>
      <c r="H179" s="50">
        <v>83.9</v>
      </c>
      <c r="I179" s="35"/>
      <c r="J179" s="35"/>
      <c r="K179" s="35" t="s">
        <v>335</v>
      </c>
      <c r="L179" s="35" t="s">
        <v>336</v>
      </c>
    </row>
    <row r="180">
      <c r="A180" s="49">
        <v>46185.381689814814</v>
      </c>
      <c r="B180" s="40">
        <v>46185.0</v>
      </c>
      <c r="C180" s="35" t="s">
        <v>103</v>
      </c>
      <c r="D180" s="35" t="s">
        <v>104</v>
      </c>
      <c r="E180" s="35" t="s">
        <v>48</v>
      </c>
      <c r="F180" s="50">
        <v>0.0</v>
      </c>
      <c r="G180" s="50">
        <v>198.0</v>
      </c>
      <c r="H180" s="50">
        <v>198.0</v>
      </c>
      <c r="I180" s="35">
        <v>7734.0</v>
      </c>
      <c r="J180" s="35" t="s">
        <v>95</v>
      </c>
      <c r="K180" s="35" t="s">
        <v>105</v>
      </c>
      <c r="L180" s="35" t="s">
        <v>78</v>
      </c>
    </row>
    <row r="181">
      <c r="A181" s="49">
        <v>46185.42863425926</v>
      </c>
      <c r="B181" s="40">
        <v>46185.0</v>
      </c>
      <c r="C181" s="35">
        <v>1234.0</v>
      </c>
      <c r="D181" s="35" t="s">
        <v>72</v>
      </c>
      <c r="E181" s="35" t="s">
        <v>135</v>
      </c>
      <c r="F181" s="50">
        <v>100.0</v>
      </c>
      <c r="G181" s="50">
        <v>98387.6</v>
      </c>
      <c r="H181" s="50">
        <v>98287.6</v>
      </c>
      <c r="I181" s="35">
        <v>7734.0</v>
      </c>
      <c r="J181" s="35" t="s">
        <v>95</v>
      </c>
      <c r="K181" s="35" t="s">
        <v>340</v>
      </c>
      <c r="L181" s="35" t="s">
        <v>336</v>
      </c>
    </row>
    <row r="182">
      <c r="A182" s="49">
        <v>46186.34226851852</v>
      </c>
      <c r="B182" s="40">
        <v>46186.0</v>
      </c>
      <c r="C182" s="35">
        <v>1234.0</v>
      </c>
      <c r="D182" s="35" t="s">
        <v>72</v>
      </c>
      <c r="E182" s="35" t="s">
        <v>48</v>
      </c>
      <c r="F182" s="50">
        <v>0.0</v>
      </c>
      <c r="G182" s="50">
        <v>98612.48</v>
      </c>
      <c r="H182" s="50">
        <v>98612.48</v>
      </c>
      <c r="I182" s="35">
        <v>7734.0</v>
      </c>
      <c r="J182" s="35" t="s">
        <v>95</v>
      </c>
      <c r="K182" s="35" t="s">
        <v>106</v>
      </c>
      <c r="L182" s="35" t="s">
        <v>78</v>
      </c>
    </row>
    <row r="183">
      <c r="A183" s="49">
        <v>46186.37420138889</v>
      </c>
      <c r="B183" s="40">
        <v>46186.0</v>
      </c>
      <c r="C183" s="35">
        <v>1234.0</v>
      </c>
      <c r="D183" s="35" t="s">
        <v>72</v>
      </c>
      <c r="E183" s="35" t="s">
        <v>135</v>
      </c>
      <c r="F183" s="50">
        <v>100.0</v>
      </c>
      <c r="G183" s="50">
        <v>98612.48</v>
      </c>
      <c r="H183" s="50">
        <v>98512.48</v>
      </c>
      <c r="I183" s="35">
        <v>7734.0</v>
      </c>
      <c r="J183" s="35" t="s">
        <v>95</v>
      </c>
      <c r="K183" s="35" t="s">
        <v>340</v>
      </c>
      <c r="L183" s="35" t="s">
        <v>336</v>
      </c>
    </row>
    <row r="184">
      <c r="A184" s="49">
        <v>46186.37939814815</v>
      </c>
      <c r="B184" s="40">
        <v>46186.0</v>
      </c>
      <c r="C184" s="35">
        <v>1234.0</v>
      </c>
      <c r="D184" s="35" t="s">
        <v>72</v>
      </c>
      <c r="E184" s="35" t="s">
        <v>135</v>
      </c>
      <c r="F184" s="50">
        <v>100.0</v>
      </c>
      <c r="G184" s="50">
        <v>98512.48</v>
      </c>
      <c r="H184" s="50">
        <v>98412.48</v>
      </c>
      <c r="I184" s="35">
        <v>7734.0</v>
      </c>
      <c r="J184" s="35" t="s">
        <v>95</v>
      </c>
      <c r="K184" s="35" t="s">
        <v>340</v>
      </c>
      <c r="L184" s="35" t="s">
        <v>336</v>
      </c>
    </row>
    <row r="185">
      <c r="A185" s="49"/>
      <c r="B185" s="40"/>
      <c r="C185" s="35"/>
      <c r="D185" s="35"/>
      <c r="E185" s="35"/>
      <c r="F185" s="50"/>
      <c r="G185" s="50"/>
      <c r="H185" s="50"/>
      <c r="I185" s="35"/>
      <c r="J185" s="35"/>
      <c r="K185" s="35"/>
      <c r="L185" s="35"/>
    </row>
    <row r="186">
      <c r="A186" s="49"/>
      <c r="B186" s="40"/>
      <c r="C186" s="35"/>
      <c r="D186" s="35"/>
      <c r="E186" s="35"/>
      <c r="F186" s="50"/>
      <c r="G186" s="50"/>
      <c r="H186" s="50"/>
      <c r="I186" s="35"/>
      <c r="J186" s="35"/>
      <c r="K186" s="35"/>
      <c r="L186" s="35"/>
    </row>
    <row r="187">
      <c r="A187" s="49"/>
      <c r="B187" s="40"/>
      <c r="C187" s="35"/>
      <c r="D187" s="35"/>
      <c r="E187" s="35"/>
      <c r="F187" s="50"/>
      <c r="G187" s="50"/>
      <c r="H187" s="50"/>
      <c r="I187" s="35"/>
      <c r="J187" s="35"/>
      <c r="K187" s="35"/>
      <c r="L187" s="35"/>
    </row>
    <row r="188">
      <c r="A188" s="49"/>
      <c r="B188" s="40"/>
      <c r="C188" s="35"/>
      <c r="D188" s="35"/>
      <c r="E188" s="35"/>
      <c r="F188" s="50"/>
      <c r="G188" s="50"/>
      <c r="H188" s="50"/>
      <c r="I188" s="35"/>
      <c r="J188" s="35"/>
      <c r="K188" s="35"/>
      <c r="L188" s="35"/>
    </row>
    <row r="189">
      <c r="A189" s="49"/>
      <c r="B189" s="40"/>
      <c r="C189" s="35"/>
      <c r="D189" s="35"/>
      <c r="E189" s="35"/>
      <c r="F189" s="50"/>
      <c r="G189" s="50"/>
      <c r="H189" s="50"/>
      <c r="I189" s="35"/>
      <c r="J189" s="35"/>
      <c r="K189" s="35"/>
      <c r="L189" s="35"/>
    </row>
  </sheetData>
  <mergeCells count="1">
    <mergeCell ref="A1:L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14.0"/>
    <col customWidth="1" min="4" max="4" width="24.0"/>
    <col customWidth="1" min="5" max="5" width="10.0"/>
    <col customWidth="1" min="6" max="6" width="14.0"/>
    <col customWidth="1" min="7" max="7" width="16.0"/>
    <col customWidth="1" min="8" max="8" width="12.0"/>
    <col customWidth="1" min="9" max="9" width="14.0"/>
    <col customWidth="1" min="10" max="10" width="18.0"/>
    <col customWidth="1" min="11" max="11" width="16.0"/>
    <col customWidth="1" min="12" max="12" width="39.0"/>
    <col customWidth="1" min="13" max="13" width="24.0"/>
  </cols>
  <sheetData>
    <row r="1" ht="30.0" customHeight="1">
      <c r="A1" s="1" t="s">
        <v>346</v>
      </c>
    </row>
    <row r="2">
      <c r="K2" s="32"/>
    </row>
    <row r="3">
      <c r="A3" s="33" t="s">
        <v>62</v>
      </c>
      <c r="B3" s="33" t="s">
        <v>38</v>
      </c>
      <c r="C3" s="33" t="s">
        <v>63</v>
      </c>
      <c r="D3" s="33" t="s">
        <v>64</v>
      </c>
      <c r="E3" s="33" t="s">
        <v>65</v>
      </c>
      <c r="F3" s="33" t="s">
        <v>66</v>
      </c>
      <c r="G3" s="33" t="s">
        <v>347</v>
      </c>
      <c r="H3" s="33" t="s">
        <v>41</v>
      </c>
      <c r="I3" s="33" t="s">
        <v>348</v>
      </c>
      <c r="J3" s="33" t="s">
        <v>349</v>
      </c>
      <c r="K3" s="34" t="s">
        <v>350</v>
      </c>
      <c r="L3" s="33" t="s">
        <v>71</v>
      </c>
      <c r="M3" s="33" t="s">
        <v>351</v>
      </c>
    </row>
    <row r="4" ht="15.75" customHeight="1">
      <c r="A4" s="49">
        <v>46163.34707175926</v>
      </c>
      <c r="B4" s="40">
        <v>46163.0</v>
      </c>
      <c r="C4" s="35" t="s">
        <v>97</v>
      </c>
      <c r="D4" s="35" t="s">
        <v>98</v>
      </c>
      <c r="E4" s="36">
        <v>10.0</v>
      </c>
      <c r="F4" s="35" t="s">
        <v>94</v>
      </c>
      <c r="G4" s="35" t="s">
        <v>66</v>
      </c>
      <c r="H4" s="35" t="s">
        <v>352</v>
      </c>
      <c r="I4" s="52">
        <v>0.34707175925925926</v>
      </c>
      <c r="J4" s="36">
        <v>1.0</v>
      </c>
      <c r="K4" s="37">
        <v>10.0</v>
      </c>
      <c r="L4" s="35" t="s">
        <v>353</v>
      </c>
      <c r="M4" s="35" t="s">
        <v>336</v>
      </c>
    </row>
    <row r="5" ht="15.75" customHeight="1">
      <c r="A5" s="49">
        <v>46163.348229166666</v>
      </c>
      <c r="B5" s="40">
        <v>46163.0</v>
      </c>
      <c r="C5" s="35" t="s">
        <v>247</v>
      </c>
      <c r="D5" s="35" t="s">
        <v>337</v>
      </c>
      <c r="E5" s="36">
        <v>10.0</v>
      </c>
      <c r="F5" s="35" t="s">
        <v>94</v>
      </c>
      <c r="G5" s="35" t="s">
        <v>66</v>
      </c>
      <c r="H5" s="35" t="s">
        <v>352</v>
      </c>
      <c r="I5" s="52">
        <v>0.34822916666666665</v>
      </c>
      <c r="J5" s="35">
        <v>1.0</v>
      </c>
      <c r="K5" s="37">
        <v>10.0</v>
      </c>
      <c r="L5" s="35" t="s">
        <v>353</v>
      </c>
      <c r="M5" s="35" t="s">
        <v>336</v>
      </c>
    </row>
    <row r="6" ht="15.75" customHeight="1">
      <c r="A6" s="49">
        <v>46163.348449074074</v>
      </c>
      <c r="B6" s="40">
        <v>46163.0</v>
      </c>
      <c r="C6" s="35" t="s">
        <v>249</v>
      </c>
      <c r="D6" s="35" t="s">
        <v>250</v>
      </c>
      <c r="E6" s="36">
        <v>10.0</v>
      </c>
      <c r="F6" s="35" t="s">
        <v>94</v>
      </c>
      <c r="G6" s="35" t="s">
        <v>66</v>
      </c>
      <c r="H6" s="35" t="s">
        <v>352</v>
      </c>
      <c r="I6" s="52">
        <v>0.34844907407407405</v>
      </c>
      <c r="J6" s="36">
        <v>1.0</v>
      </c>
      <c r="K6" s="37">
        <v>10.0</v>
      </c>
      <c r="L6" s="35" t="s">
        <v>353</v>
      </c>
      <c r="M6" s="35" t="s">
        <v>336</v>
      </c>
    </row>
    <row r="7" ht="15.75" customHeight="1">
      <c r="A7" s="49">
        <v>46163.349444444444</v>
      </c>
      <c r="B7" s="40">
        <v>46163.0</v>
      </c>
      <c r="C7" s="35" t="s">
        <v>243</v>
      </c>
      <c r="D7" s="35" t="s">
        <v>244</v>
      </c>
      <c r="E7" s="36">
        <v>10.0</v>
      </c>
      <c r="F7" s="35" t="s">
        <v>94</v>
      </c>
      <c r="G7" s="35" t="s">
        <v>66</v>
      </c>
      <c r="H7" s="35" t="s">
        <v>352</v>
      </c>
      <c r="I7" s="52">
        <v>0.34944444444444445</v>
      </c>
      <c r="J7" s="36">
        <v>1.0</v>
      </c>
      <c r="K7" s="37">
        <v>10.0</v>
      </c>
      <c r="L7" s="35" t="s">
        <v>353</v>
      </c>
      <c r="M7" s="35" t="s">
        <v>336</v>
      </c>
    </row>
    <row r="8" ht="15.75" customHeight="1">
      <c r="A8" s="49">
        <v>46163.35587962963</v>
      </c>
      <c r="B8" s="40">
        <v>46163.0</v>
      </c>
      <c r="C8" s="35" t="s">
        <v>103</v>
      </c>
      <c r="D8" s="35" t="s">
        <v>104</v>
      </c>
      <c r="E8" s="36">
        <v>10.0</v>
      </c>
      <c r="F8" s="35" t="s">
        <v>94</v>
      </c>
      <c r="G8" s="35" t="s">
        <v>66</v>
      </c>
      <c r="H8" s="35" t="s">
        <v>352</v>
      </c>
      <c r="I8" s="52">
        <v>0.35587962962962966</v>
      </c>
      <c r="J8" s="36">
        <v>1.0</v>
      </c>
      <c r="K8" s="37">
        <v>10.0</v>
      </c>
      <c r="L8" s="35" t="s">
        <v>353</v>
      </c>
      <c r="M8" s="35" t="s">
        <v>336</v>
      </c>
    </row>
    <row r="9" ht="15.75" customHeight="1">
      <c r="A9" s="49">
        <v>46163.35612268518</v>
      </c>
      <c r="B9" s="40">
        <v>46163.0</v>
      </c>
      <c r="C9" s="35" t="s">
        <v>92</v>
      </c>
      <c r="D9" s="35" t="s">
        <v>93</v>
      </c>
      <c r="E9" s="36">
        <v>10.0</v>
      </c>
      <c r="F9" s="35" t="s">
        <v>259</v>
      </c>
      <c r="G9" s="35" t="s">
        <v>66</v>
      </c>
      <c r="H9" s="35" t="s">
        <v>352</v>
      </c>
      <c r="I9" s="52">
        <v>0.3975462962962963</v>
      </c>
      <c r="J9" s="36">
        <v>1.0</v>
      </c>
      <c r="K9" s="37">
        <v>10.0</v>
      </c>
      <c r="L9" s="35" t="s">
        <v>353</v>
      </c>
      <c r="M9" s="35" t="s">
        <v>336</v>
      </c>
    </row>
    <row r="10" ht="15.75" customHeight="1">
      <c r="A10" s="49">
        <v>46163.35622685185</v>
      </c>
      <c r="B10" s="40">
        <v>46163.0</v>
      </c>
      <c r="C10" s="35" t="s">
        <v>240</v>
      </c>
      <c r="D10" s="35" t="s">
        <v>241</v>
      </c>
      <c r="E10" s="36">
        <v>10.0</v>
      </c>
      <c r="F10" s="35" t="s">
        <v>94</v>
      </c>
      <c r="G10" s="35" t="s">
        <v>66</v>
      </c>
      <c r="H10" s="35" t="s">
        <v>352</v>
      </c>
      <c r="I10" s="52">
        <v>0.3562268518518519</v>
      </c>
      <c r="J10" s="36">
        <v>1.0</v>
      </c>
      <c r="K10" s="37">
        <v>10.0</v>
      </c>
      <c r="L10" s="35" t="s">
        <v>353</v>
      </c>
      <c r="M10" s="35" t="s">
        <v>336</v>
      </c>
    </row>
    <row r="11" ht="15.75" customHeight="1">
      <c r="A11" s="49">
        <v>46163.35988425926</v>
      </c>
      <c r="B11" s="40">
        <v>46163.0</v>
      </c>
      <c r="C11" s="35" t="s">
        <v>92</v>
      </c>
      <c r="D11" s="35" t="s">
        <v>93</v>
      </c>
      <c r="E11" s="36">
        <v>10.0</v>
      </c>
      <c r="F11" s="35" t="s">
        <v>94</v>
      </c>
      <c r="G11" s="35" t="s">
        <v>66</v>
      </c>
      <c r="H11" s="35" t="s">
        <v>354</v>
      </c>
      <c r="I11" s="52">
        <v>0.35988425925925926</v>
      </c>
      <c r="J11" s="41"/>
      <c r="K11" s="37">
        <v>0.0</v>
      </c>
      <c r="L11" s="35" t="s">
        <v>355</v>
      </c>
      <c r="M11" s="35" t="s">
        <v>356</v>
      </c>
    </row>
    <row r="12" ht="15.75" customHeight="1">
      <c r="A12" s="49">
        <v>46163.36289351852</v>
      </c>
      <c r="B12" s="40">
        <v>46163.0</v>
      </c>
      <c r="C12" s="35" t="s">
        <v>253</v>
      </c>
      <c r="D12" s="35" t="s">
        <v>254</v>
      </c>
      <c r="E12" s="36">
        <v>10.0</v>
      </c>
      <c r="F12" s="35" t="s">
        <v>94</v>
      </c>
      <c r="G12" s="35" t="s">
        <v>66</v>
      </c>
      <c r="H12" s="35" t="s">
        <v>357</v>
      </c>
      <c r="I12" s="52">
        <v>0.36289351851851853</v>
      </c>
      <c r="J12" s="35">
        <v>0.0</v>
      </c>
      <c r="K12" s="37">
        <v>0.0</v>
      </c>
      <c r="L12" s="35" t="s">
        <v>358</v>
      </c>
      <c r="M12" s="35" t="s">
        <v>336</v>
      </c>
    </row>
    <row r="13" ht="15.75" customHeight="1">
      <c r="A13" s="49">
        <v>46163.36681712963</v>
      </c>
      <c r="B13" s="40">
        <v>46163.0</v>
      </c>
      <c r="C13" s="35" t="s">
        <v>255</v>
      </c>
      <c r="D13" s="35" t="s">
        <v>256</v>
      </c>
      <c r="E13" s="36">
        <v>10.0</v>
      </c>
      <c r="F13" s="35" t="s">
        <v>94</v>
      </c>
      <c r="G13" s="35" t="s">
        <v>66</v>
      </c>
      <c r="H13" s="35" t="s">
        <v>357</v>
      </c>
      <c r="I13" s="52">
        <v>0.36681712962962965</v>
      </c>
      <c r="J13" s="36">
        <v>0.0</v>
      </c>
      <c r="K13" s="37">
        <v>0.0</v>
      </c>
      <c r="L13" s="35" t="s">
        <v>359</v>
      </c>
      <c r="M13" s="35" t="s">
        <v>336</v>
      </c>
    </row>
    <row r="14" ht="15.75" customHeight="1">
      <c r="A14" s="49">
        <v>46164.34453703704</v>
      </c>
      <c r="B14" s="40">
        <v>46164.0</v>
      </c>
      <c r="C14" s="35" t="s">
        <v>97</v>
      </c>
      <c r="D14" s="35" t="s">
        <v>98</v>
      </c>
      <c r="E14" s="36">
        <v>10.0</v>
      </c>
      <c r="F14" s="35" t="s">
        <v>94</v>
      </c>
      <c r="G14" s="35" t="s">
        <v>66</v>
      </c>
      <c r="H14" s="35" t="s">
        <v>352</v>
      </c>
      <c r="I14" s="52">
        <v>0.34453703703703703</v>
      </c>
      <c r="J14" s="36">
        <v>2.0</v>
      </c>
      <c r="K14" s="37">
        <v>10.0</v>
      </c>
      <c r="L14" s="35" t="s">
        <v>353</v>
      </c>
      <c r="M14" s="35" t="s">
        <v>336</v>
      </c>
    </row>
    <row r="15" ht="15.75" customHeight="1">
      <c r="A15" s="49">
        <v>46164.35334490741</v>
      </c>
      <c r="B15" s="40">
        <v>46164.0</v>
      </c>
      <c r="C15" s="35" t="s">
        <v>243</v>
      </c>
      <c r="D15" s="35" t="s">
        <v>244</v>
      </c>
      <c r="E15" s="36">
        <v>10.0</v>
      </c>
      <c r="F15" s="35" t="s">
        <v>94</v>
      </c>
      <c r="G15" s="35" t="s">
        <v>66</v>
      </c>
      <c r="H15" s="35" t="s">
        <v>352</v>
      </c>
      <c r="I15" s="52">
        <v>0.3533449074074074</v>
      </c>
      <c r="J15" s="36">
        <v>2.0</v>
      </c>
      <c r="K15" s="37">
        <v>10.0</v>
      </c>
      <c r="L15" s="35" t="s">
        <v>353</v>
      </c>
      <c r="M15" s="35" t="s">
        <v>336</v>
      </c>
    </row>
    <row r="16" ht="15.75" customHeight="1">
      <c r="A16" s="49">
        <v>46164.353483796294</v>
      </c>
      <c r="B16" s="40">
        <v>46164.0</v>
      </c>
      <c r="C16" s="35" t="s">
        <v>247</v>
      </c>
      <c r="D16" s="35" t="s">
        <v>337</v>
      </c>
      <c r="E16" s="36">
        <v>10.0</v>
      </c>
      <c r="F16" s="35" t="s">
        <v>94</v>
      </c>
      <c r="G16" s="35" t="s">
        <v>66</v>
      </c>
      <c r="H16" s="35" t="s">
        <v>352</v>
      </c>
      <c r="I16" s="52">
        <v>0.3534837962962963</v>
      </c>
      <c r="J16" s="36">
        <v>2.0</v>
      </c>
      <c r="K16" s="37">
        <v>10.0</v>
      </c>
      <c r="L16" s="35" t="s">
        <v>353</v>
      </c>
      <c r="M16" s="35" t="s">
        <v>336</v>
      </c>
    </row>
    <row r="17" ht="15.75" customHeight="1">
      <c r="A17" s="49">
        <v>46164.35361111111</v>
      </c>
      <c r="B17" s="40">
        <v>46164.0</v>
      </c>
      <c r="C17" s="35" t="s">
        <v>249</v>
      </c>
      <c r="D17" s="35" t="s">
        <v>250</v>
      </c>
      <c r="E17" s="36">
        <v>10.0</v>
      </c>
      <c r="F17" s="35" t="s">
        <v>94</v>
      </c>
      <c r="G17" s="35" t="s">
        <v>66</v>
      </c>
      <c r="H17" s="35" t="s">
        <v>352</v>
      </c>
      <c r="I17" s="52">
        <v>0.3536111111111111</v>
      </c>
      <c r="J17" s="36">
        <v>2.0</v>
      </c>
      <c r="K17" s="37">
        <v>10.0</v>
      </c>
      <c r="L17" s="35" t="s">
        <v>353</v>
      </c>
      <c r="M17" s="35" t="s">
        <v>336</v>
      </c>
    </row>
    <row r="18" ht="15.75" customHeight="1">
      <c r="A18" s="49">
        <v>46164.35439814815</v>
      </c>
      <c r="B18" s="40">
        <v>46164.0</v>
      </c>
      <c r="C18" s="35" t="s">
        <v>92</v>
      </c>
      <c r="D18" s="35" t="s">
        <v>93</v>
      </c>
      <c r="E18" s="36">
        <v>10.0</v>
      </c>
      <c r="F18" s="35" t="s">
        <v>94</v>
      </c>
      <c r="G18" s="35" t="s">
        <v>66</v>
      </c>
      <c r="H18" s="35" t="s">
        <v>352</v>
      </c>
      <c r="I18" s="52">
        <v>0.35439814814814813</v>
      </c>
      <c r="J18" s="36">
        <v>2.0</v>
      </c>
      <c r="K18" s="37">
        <v>10.0</v>
      </c>
      <c r="L18" s="35" t="s">
        <v>353</v>
      </c>
      <c r="M18" s="35" t="s">
        <v>336</v>
      </c>
    </row>
    <row r="19" ht="15.75" customHeight="1">
      <c r="A19" s="49">
        <v>46164.35686342593</v>
      </c>
      <c r="B19" s="40">
        <v>46164.0</v>
      </c>
      <c r="C19" s="35" t="s">
        <v>240</v>
      </c>
      <c r="D19" s="35" t="s">
        <v>241</v>
      </c>
      <c r="E19" s="36">
        <v>10.0</v>
      </c>
      <c r="F19" s="35" t="s">
        <v>94</v>
      </c>
      <c r="G19" s="35" t="s">
        <v>66</v>
      </c>
      <c r="H19" s="35" t="s">
        <v>352</v>
      </c>
      <c r="I19" s="52">
        <v>0.3568634259259259</v>
      </c>
      <c r="J19" s="36">
        <v>2.0</v>
      </c>
      <c r="K19" s="37">
        <v>10.0</v>
      </c>
      <c r="L19" s="35" t="s">
        <v>353</v>
      </c>
      <c r="M19" s="35" t="s">
        <v>336</v>
      </c>
    </row>
    <row r="20" ht="15.75" customHeight="1">
      <c r="A20" s="49">
        <v>46164.35702546296</v>
      </c>
      <c r="B20" s="40">
        <v>46164.0</v>
      </c>
      <c r="C20" s="35" t="s">
        <v>103</v>
      </c>
      <c r="D20" s="35" t="s">
        <v>104</v>
      </c>
      <c r="E20" s="36">
        <v>10.0</v>
      </c>
      <c r="F20" s="35" t="s">
        <v>94</v>
      </c>
      <c r="G20" s="35" t="s">
        <v>66</v>
      </c>
      <c r="H20" s="35" t="s">
        <v>352</v>
      </c>
      <c r="I20" s="52">
        <v>0.35702546296296295</v>
      </c>
      <c r="J20" s="36">
        <v>2.0</v>
      </c>
      <c r="K20" s="37">
        <v>10.0</v>
      </c>
      <c r="L20" s="35" t="s">
        <v>353</v>
      </c>
      <c r="M20" s="35" t="s">
        <v>336</v>
      </c>
    </row>
    <row r="21" ht="15.75" customHeight="1">
      <c r="A21" s="49">
        <v>46164.357152777775</v>
      </c>
      <c r="B21" s="40">
        <v>46164.0</v>
      </c>
      <c r="C21" s="35" t="s">
        <v>255</v>
      </c>
      <c r="D21" s="35" t="s">
        <v>256</v>
      </c>
      <c r="E21" s="36">
        <v>10.0</v>
      </c>
      <c r="F21" s="35" t="s">
        <v>94</v>
      </c>
      <c r="G21" s="35" t="s">
        <v>66</v>
      </c>
      <c r="H21" s="35" t="s">
        <v>352</v>
      </c>
      <c r="I21" s="52">
        <v>0.35715277777777776</v>
      </c>
      <c r="J21" s="36">
        <v>1.0</v>
      </c>
      <c r="K21" s="37">
        <v>10.0</v>
      </c>
      <c r="L21" s="35" t="s">
        <v>353</v>
      </c>
      <c r="M21" s="35" t="s">
        <v>336</v>
      </c>
    </row>
    <row r="22" ht="15.75" customHeight="1">
      <c r="A22" s="49">
        <v>46168.33902777778</v>
      </c>
      <c r="B22" s="40">
        <v>46168.0</v>
      </c>
      <c r="C22" s="35" t="s">
        <v>243</v>
      </c>
      <c r="D22" s="35" t="s">
        <v>244</v>
      </c>
      <c r="E22" s="36">
        <v>10.0</v>
      </c>
      <c r="F22" s="35" t="s">
        <v>94</v>
      </c>
      <c r="G22" s="35" t="s">
        <v>66</v>
      </c>
      <c r="H22" s="35" t="s">
        <v>352</v>
      </c>
      <c r="I22" s="52">
        <v>0.33902777777777776</v>
      </c>
      <c r="J22" s="36">
        <v>1.0</v>
      </c>
      <c r="K22" s="37">
        <v>10.0</v>
      </c>
      <c r="L22" s="35" t="s">
        <v>353</v>
      </c>
      <c r="M22" s="35" t="s">
        <v>336</v>
      </c>
    </row>
    <row r="23" ht="15.75" customHeight="1">
      <c r="A23" s="49">
        <v>46168.35086805555</v>
      </c>
      <c r="B23" s="40">
        <v>46168.0</v>
      </c>
      <c r="C23" s="35" t="s">
        <v>97</v>
      </c>
      <c r="D23" s="35" t="s">
        <v>98</v>
      </c>
      <c r="E23" s="36">
        <v>10.0</v>
      </c>
      <c r="F23" s="35" t="s">
        <v>94</v>
      </c>
      <c r="G23" s="35" t="s">
        <v>66</v>
      </c>
      <c r="H23" s="35" t="s">
        <v>352</v>
      </c>
      <c r="I23" s="52">
        <v>0.35086805555555556</v>
      </c>
      <c r="J23" s="36">
        <v>1.0</v>
      </c>
      <c r="K23" s="37">
        <v>10.0</v>
      </c>
      <c r="L23" s="35" t="s">
        <v>353</v>
      </c>
      <c r="M23" s="35" t="s">
        <v>336</v>
      </c>
    </row>
    <row r="24" ht="15.75" customHeight="1">
      <c r="A24" s="49">
        <v>46168.35162037037</v>
      </c>
      <c r="B24" s="40">
        <v>46168.0</v>
      </c>
      <c r="C24" s="35" t="s">
        <v>247</v>
      </c>
      <c r="D24" s="35" t="s">
        <v>337</v>
      </c>
      <c r="E24" s="36">
        <v>10.0</v>
      </c>
      <c r="F24" s="35" t="s">
        <v>94</v>
      </c>
      <c r="G24" s="35" t="s">
        <v>66</v>
      </c>
      <c r="H24" s="35" t="s">
        <v>352</v>
      </c>
      <c r="I24" s="52">
        <v>0.35162037037037036</v>
      </c>
      <c r="J24" s="36">
        <v>1.0</v>
      </c>
      <c r="K24" s="37">
        <v>10.0</v>
      </c>
      <c r="L24" s="35" t="s">
        <v>353</v>
      </c>
      <c r="M24" s="35" t="s">
        <v>336</v>
      </c>
    </row>
    <row r="25" ht="15.75" customHeight="1">
      <c r="A25" s="49">
        <v>46168.35445601852</v>
      </c>
      <c r="B25" s="40">
        <v>46168.0</v>
      </c>
      <c r="C25" s="35" t="s">
        <v>92</v>
      </c>
      <c r="D25" s="35" t="s">
        <v>93</v>
      </c>
      <c r="E25" s="36">
        <v>10.0</v>
      </c>
      <c r="F25" s="35" t="s">
        <v>94</v>
      </c>
      <c r="G25" s="35" t="s">
        <v>66</v>
      </c>
      <c r="H25" s="35" t="s">
        <v>352</v>
      </c>
      <c r="I25" s="52">
        <v>0.35445601851851855</v>
      </c>
      <c r="J25" s="36">
        <v>1.0</v>
      </c>
      <c r="K25" s="37">
        <v>10.0</v>
      </c>
      <c r="L25" s="35" t="s">
        <v>353</v>
      </c>
      <c r="M25" s="35" t="s">
        <v>336</v>
      </c>
    </row>
    <row r="26" ht="15.75" customHeight="1">
      <c r="A26" s="49">
        <v>46168.35590277778</v>
      </c>
      <c r="B26" s="40">
        <v>46168.0</v>
      </c>
      <c r="C26" s="35" t="s">
        <v>103</v>
      </c>
      <c r="D26" s="35" t="s">
        <v>104</v>
      </c>
      <c r="E26" s="36">
        <v>10.0</v>
      </c>
      <c r="F26" s="35" t="s">
        <v>94</v>
      </c>
      <c r="G26" s="35" t="s">
        <v>66</v>
      </c>
      <c r="H26" s="35" t="s">
        <v>352</v>
      </c>
      <c r="I26" s="52">
        <v>0.3559027777777778</v>
      </c>
      <c r="J26" s="36">
        <v>1.0</v>
      </c>
      <c r="K26" s="37">
        <v>10.0</v>
      </c>
      <c r="L26" s="35" t="s">
        <v>353</v>
      </c>
      <c r="M26" s="35" t="s">
        <v>336</v>
      </c>
    </row>
    <row r="27" ht="15.75" customHeight="1">
      <c r="A27" s="49">
        <v>46168.356261574074</v>
      </c>
      <c r="B27" s="40">
        <v>46168.0</v>
      </c>
      <c r="C27" s="35" t="s">
        <v>255</v>
      </c>
      <c r="D27" s="35" t="s">
        <v>256</v>
      </c>
      <c r="E27" s="36">
        <v>10.0</v>
      </c>
      <c r="F27" s="35" t="s">
        <v>94</v>
      </c>
      <c r="G27" s="35" t="s">
        <v>66</v>
      </c>
      <c r="H27" s="35" t="s">
        <v>352</v>
      </c>
      <c r="I27" s="52">
        <v>0.35626157407407405</v>
      </c>
      <c r="J27" s="36">
        <v>1.0</v>
      </c>
      <c r="K27" s="37">
        <v>10.0</v>
      </c>
      <c r="L27" s="35" t="s">
        <v>353</v>
      </c>
      <c r="M27" s="35" t="s">
        <v>336</v>
      </c>
    </row>
    <row r="28" ht="15.75" customHeight="1">
      <c r="A28" s="49">
        <v>46168.35865740741</v>
      </c>
      <c r="B28" s="40">
        <v>46168.0</v>
      </c>
      <c r="C28" s="35" t="s">
        <v>240</v>
      </c>
      <c r="D28" s="35" t="s">
        <v>241</v>
      </c>
      <c r="E28" s="36">
        <v>10.0</v>
      </c>
      <c r="F28" s="35" t="s">
        <v>94</v>
      </c>
      <c r="G28" s="35" t="s">
        <v>66</v>
      </c>
      <c r="H28" s="35" t="s">
        <v>357</v>
      </c>
      <c r="I28" s="52">
        <v>0.3586574074074074</v>
      </c>
      <c r="J28" s="36">
        <v>0.0</v>
      </c>
      <c r="K28" s="37">
        <v>0.0</v>
      </c>
      <c r="L28" s="35" t="s">
        <v>360</v>
      </c>
      <c r="M28" s="35" t="s">
        <v>336</v>
      </c>
    </row>
    <row r="29" ht="15.75" customHeight="1">
      <c r="A29" s="49">
        <v>46168.49429398148</v>
      </c>
      <c r="B29" s="40">
        <v>46168.0</v>
      </c>
      <c r="C29" s="35" t="s">
        <v>251</v>
      </c>
      <c r="D29" s="35" t="s">
        <v>252</v>
      </c>
      <c r="E29" s="36">
        <v>10.0</v>
      </c>
      <c r="F29" s="35" t="s">
        <v>94</v>
      </c>
      <c r="G29" s="35" t="s">
        <v>66</v>
      </c>
      <c r="H29" s="35" t="s">
        <v>357</v>
      </c>
      <c r="I29" s="52">
        <v>0.49429398148148146</v>
      </c>
      <c r="J29" s="36">
        <v>0.0</v>
      </c>
      <c r="K29" s="37">
        <v>0.0</v>
      </c>
      <c r="L29" s="35" t="s">
        <v>359</v>
      </c>
      <c r="M29" s="35" t="s">
        <v>336</v>
      </c>
    </row>
    <row r="30" ht="15.75" customHeight="1">
      <c r="A30" s="49">
        <v>46168.65002314815</v>
      </c>
      <c r="B30" s="40">
        <v>46168.0</v>
      </c>
      <c r="C30" s="35" t="s">
        <v>245</v>
      </c>
      <c r="D30" s="35" t="s">
        <v>246</v>
      </c>
      <c r="E30" s="36">
        <v>10.0</v>
      </c>
      <c r="F30" s="35" t="s">
        <v>94</v>
      </c>
      <c r="G30" s="35" t="s">
        <v>66</v>
      </c>
      <c r="H30" s="35" t="s">
        <v>357</v>
      </c>
      <c r="I30" s="52">
        <v>0.6500231481481481</v>
      </c>
      <c r="J30" s="36">
        <v>0.0</v>
      </c>
      <c r="K30" s="37">
        <v>0.0</v>
      </c>
      <c r="L30" s="35" t="s">
        <v>359</v>
      </c>
      <c r="M30" s="35" t="s">
        <v>336</v>
      </c>
    </row>
    <row r="31" ht="15.75" customHeight="1">
      <c r="A31" s="49">
        <v>46169.37300925926</v>
      </c>
      <c r="B31" s="40">
        <v>46169.0</v>
      </c>
      <c r="C31" s="35" t="s">
        <v>240</v>
      </c>
      <c r="D31" s="35" t="s">
        <v>241</v>
      </c>
      <c r="E31" s="36">
        <v>10.0</v>
      </c>
      <c r="F31" s="35" t="s">
        <v>94</v>
      </c>
      <c r="G31" s="35" t="s">
        <v>66</v>
      </c>
      <c r="H31" s="35" t="s">
        <v>354</v>
      </c>
      <c r="I31" s="52">
        <v>0.37300925925925926</v>
      </c>
      <c r="J31" s="41"/>
      <c r="K31" s="37">
        <v>0.0</v>
      </c>
      <c r="L31" s="35" t="s">
        <v>355</v>
      </c>
      <c r="M31" s="35" t="s">
        <v>356</v>
      </c>
    </row>
    <row r="32" ht="15.75" customHeight="1">
      <c r="A32" s="49">
        <v>46170.34717592593</v>
      </c>
      <c r="B32" s="40">
        <v>46170.0</v>
      </c>
      <c r="C32" s="35" t="s">
        <v>251</v>
      </c>
      <c r="D32" s="35" t="s">
        <v>252</v>
      </c>
      <c r="E32" s="36">
        <v>10.0</v>
      </c>
      <c r="F32" s="35" t="s">
        <v>94</v>
      </c>
      <c r="G32" s="35" t="s">
        <v>66</v>
      </c>
      <c r="H32" s="35" t="s">
        <v>352</v>
      </c>
      <c r="I32" s="52">
        <v>0.34717592592592594</v>
      </c>
      <c r="J32" s="36">
        <v>1.0</v>
      </c>
      <c r="K32" s="37">
        <v>10.0</v>
      </c>
      <c r="L32" s="35" t="s">
        <v>353</v>
      </c>
      <c r="M32" s="35" t="s">
        <v>336</v>
      </c>
    </row>
    <row r="33" ht="15.75" customHeight="1">
      <c r="A33" s="49">
        <v>46170.35011574074</v>
      </c>
      <c r="B33" s="40">
        <v>46170.0</v>
      </c>
      <c r="C33" s="35" t="s">
        <v>97</v>
      </c>
      <c r="D33" s="35" t="s">
        <v>98</v>
      </c>
      <c r="E33" s="36">
        <v>10.0</v>
      </c>
      <c r="F33" s="35" t="s">
        <v>94</v>
      </c>
      <c r="G33" s="35" t="s">
        <v>66</v>
      </c>
      <c r="H33" s="35" t="s">
        <v>352</v>
      </c>
      <c r="I33" s="52">
        <v>0.35011574074074076</v>
      </c>
      <c r="J33" s="36">
        <v>1.0</v>
      </c>
      <c r="K33" s="37">
        <v>10.0</v>
      </c>
      <c r="L33" s="35" t="s">
        <v>353</v>
      </c>
      <c r="M33" s="35" t="s">
        <v>336</v>
      </c>
    </row>
    <row r="34" ht="15.75" customHeight="1">
      <c r="A34" s="49">
        <v>46170.35193287037</v>
      </c>
      <c r="B34" s="40">
        <v>46170.0</v>
      </c>
      <c r="C34" s="35" t="s">
        <v>247</v>
      </c>
      <c r="D34" s="35" t="s">
        <v>337</v>
      </c>
      <c r="E34" s="36">
        <v>10.0</v>
      </c>
      <c r="F34" s="35" t="s">
        <v>94</v>
      </c>
      <c r="G34" s="35" t="s">
        <v>66</v>
      </c>
      <c r="H34" s="35" t="s">
        <v>352</v>
      </c>
      <c r="I34" s="52">
        <v>0.35193287037037035</v>
      </c>
      <c r="J34" s="36">
        <v>1.0</v>
      </c>
      <c r="K34" s="37">
        <v>10.0</v>
      </c>
      <c r="L34" s="35" t="s">
        <v>353</v>
      </c>
      <c r="M34" s="35" t="s">
        <v>336</v>
      </c>
    </row>
    <row r="35" ht="15.75" customHeight="1">
      <c r="A35" s="49">
        <v>46170.352118055554</v>
      </c>
      <c r="B35" s="40">
        <v>46170.0</v>
      </c>
      <c r="C35" s="35" t="s">
        <v>92</v>
      </c>
      <c r="D35" s="35" t="s">
        <v>93</v>
      </c>
      <c r="E35" s="36">
        <v>10.0</v>
      </c>
      <c r="F35" s="35" t="s">
        <v>94</v>
      </c>
      <c r="G35" s="35" t="s">
        <v>66</v>
      </c>
      <c r="H35" s="35" t="s">
        <v>352</v>
      </c>
      <c r="I35" s="52">
        <v>0.35211805555555553</v>
      </c>
      <c r="J35" s="36">
        <v>1.0</v>
      </c>
      <c r="K35" s="37">
        <v>10.0</v>
      </c>
      <c r="L35" s="35" t="s">
        <v>353</v>
      </c>
      <c r="M35" s="35" t="s">
        <v>336</v>
      </c>
    </row>
    <row r="36" ht="15.75" customHeight="1">
      <c r="A36" s="49">
        <v>46170.352268518516</v>
      </c>
      <c r="B36" s="40">
        <v>46170.0</v>
      </c>
      <c r="C36" s="35" t="s">
        <v>243</v>
      </c>
      <c r="D36" s="35" t="s">
        <v>244</v>
      </c>
      <c r="E36" s="36">
        <v>10.0</v>
      </c>
      <c r="F36" s="35" t="s">
        <v>94</v>
      </c>
      <c r="G36" s="35" t="s">
        <v>66</v>
      </c>
      <c r="H36" s="35" t="s">
        <v>352</v>
      </c>
      <c r="I36" s="52">
        <v>0.35226851851851854</v>
      </c>
      <c r="J36" s="36">
        <v>1.0</v>
      </c>
      <c r="K36" s="37">
        <v>10.0</v>
      </c>
      <c r="L36" s="35" t="s">
        <v>353</v>
      </c>
      <c r="M36" s="35" t="s">
        <v>336</v>
      </c>
    </row>
    <row r="37" ht="15.75" customHeight="1">
      <c r="A37" s="49">
        <v>46170.35403935185</v>
      </c>
      <c r="B37" s="40">
        <v>46170.0</v>
      </c>
      <c r="C37" s="35" t="s">
        <v>249</v>
      </c>
      <c r="D37" s="35" t="s">
        <v>250</v>
      </c>
      <c r="E37" s="36">
        <v>10.0</v>
      </c>
      <c r="F37" s="35" t="s">
        <v>94</v>
      </c>
      <c r="G37" s="35" t="s">
        <v>66</v>
      </c>
      <c r="H37" s="35" t="s">
        <v>352</v>
      </c>
      <c r="I37" s="52">
        <v>0.35403935185185187</v>
      </c>
      <c r="J37" s="36">
        <v>1.0</v>
      </c>
      <c r="K37" s="37">
        <v>10.0</v>
      </c>
      <c r="L37" s="35" t="s">
        <v>353</v>
      </c>
      <c r="M37" s="35" t="s">
        <v>336</v>
      </c>
    </row>
    <row r="38" ht="15.75" customHeight="1">
      <c r="A38" s="49">
        <v>46170.35628472222</v>
      </c>
      <c r="B38" s="40">
        <v>46170.0</v>
      </c>
      <c r="C38" s="35" t="s">
        <v>240</v>
      </c>
      <c r="D38" s="35" t="s">
        <v>241</v>
      </c>
      <c r="E38" s="36">
        <v>10.0</v>
      </c>
      <c r="F38" s="35" t="s">
        <v>94</v>
      </c>
      <c r="G38" s="35" t="s">
        <v>66</v>
      </c>
      <c r="H38" s="35" t="s">
        <v>352</v>
      </c>
      <c r="I38" s="52">
        <v>0.35628472222222224</v>
      </c>
      <c r="J38" s="36">
        <v>1.0</v>
      </c>
      <c r="K38" s="37">
        <v>10.0</v>
      </c>
      <c r="L38" s="35" t="s">
        <v>353</v>
      </c>
      <c r="M38" s="35" t="s">
        <v>336</v>
      </c>
    </row>
    <row r="39" ht="15.75" customHeight="1">
      <c r="A39" s="49">
        <v>46170.35795138889</v>
      </c>
      <c r="B39" s="40">
        <v>46170.0</v>
      </c>
      <c r="C39" s="35" t="s">
        <v>255</v>
      </c>
      <c r="D39" s="35" t="s">
        <v>256</v>
      </c>
      <c r="E39" s="36">
        <v>10.0</v>
      </c>
      <c r="F39" s="35" t="s">
        <v>94</v>
      </c>
      <c r="G39" s="35" t="s">
        <v>66</v>
      </c>
      <c r="H39" s="35" t="s">
        <v>352</v>
      </c>
      <c r="I39" s="52">
        <v>0.3579513888888889</v>
      </c>
      <c r="J39" s="36">
        <v>1.0</v>
      </c>
      <c r="K39" s="37">
        <v>10.0</v>
      </c>
      <c r="L39" s="35" t="s">
        <v>353</v>
      </c>
      <c r="M39" s="35" t="s">
        <v>336</v>
      </c>
    </row>
    <row r="40" ht="15.75" customHeight="1">
      <c r="A40" s="49">
        <v>46170.3725</v>
      </c>
      <c r="B40" s="40">
        <v>46170.0</v>
      </c>
      <c r="C40" s="35" t="s">
        <v>253</v>
      </c>
      <c r="D40" s="35" t="s">
        <v>254</v>
      </c>
      <c r="E40" s="36">
        <v>10.0</v>
      </c>
      <c r="F40" s="35" t="s">
        <v>94</v>
      </c>
      <c r="G40" s="35" t="s">
        <v>66</v>
      </c>
      <c r="H40" s="35" t="s">
        <v>357</v>
      </c>
      <c r="I40" s="52">
        <v>0.3725</v>
      </c>
      <c r="J40" s="36">
        <v>0.0</v>
      </c>
      <c r="K40" s="37">
        <v>0.0</v>
      </c>
      <c r="L40" s="35" t="s">
        <v>360</v>
      </c>
      <c r="M40" s="35" t="s">
        <v>336</v>
      </c>
    </row>
    <row r="41" ht="15.75" customHeight="1">
      <c r="A41" s="49">
        <v>46170.37265046296</v>
      </c>
      <c r="B41" s="40">
        <v>46170.0</v>
      </c>
      <c r="C41" s="35" t="s">
        <v>245</v>
      </c>
      <c r="D41" s="35" t="s">
        <v>246</v>
      </c>
      <c r="E41" s="36">
        <v>10.0</v>
      </c>
      <c r="F41" s="35" t="s">
        <v>94</v>
      </c>
      <c r="G41" s="35" t="s">
        <v>66</v>
      </c>
      <c r="H41" s="35" t="s">
        <v>357</v>
      </c>
      <c r="I41" s="52">
        <v>0.37265046296296295</v>
      </c>
      <c r="J41" s="36">
        <v>0.0</v>
      </c>
      <c r="K41" s="37">
        <v>0.0</v>
      </c>
      <c r="L41" s="35" t="s">
        <v>359</v>
      </c>
      <c r="M41" s="35" t="s">
        <v>336</v>
      </c>
    </row>
    <row r="42" ht="15.75" customHeight="1">
      <c r="A42" s="49">
        <v>46174.34792824074</v>
      </c>
      <c r="B42" s="40">
        <v>46174.0</v>
      </c>
      <c r="C42" s="35" t="s">
        <v>251</v>
      </c>
      <c r="D42" s="35" t="s">
        <v>252</v>
      </c>
      <c r="E42" s="36">
        <v>10.0</v>
      </c>
      <c r="F42" s="35" t="s">
        <v>94</v>
      </c>
      <c r="G42" s="35" t="s">
        <v>66</v>
      </c>
      <c r="H42" s="35" t="s">
        <v>352</v>
      </c>
      <c r="I42" s="52">
        <v>0.34792824074074075</v>
      </c>
      <c r="J42" s="36">
        <v>1.0</v>
      </c>
      <c r="K42" s="37">
        <v>10.0</v>
      </c>
      <c r="L42" s="35" t="s">
        <v>353</v>
      </c>
      <c r="M42" s="35" t="s">
        <v>336</v>
      </c>
    </row>
    <row r="43" ht="15.75" customHeight="1">
      <c r="A43" s="49">
        <v>46174.34815972222</v>
      </c>
      <c r="B43" s="40">
        <v>46174.0</v>
      </c>
      <c r="C43" s="35" t="s">
        <v>97</v>
      </c>
      <c r="D43" s="35" t="s">
        <v>98</v>
      </c>
      <c r="E43" s="36">
        <v>10.0</v>
      </c>
      <c r="F43" s="35" t="s">
        <v>94</v>
      </c>
      <c r="G43" s="35" t="s">
        <v>66</v>
      </c>
      <c r="H43" s="35" t="s">
        <v>352</v>
      </c>
      <c r="I43" s="52">
        <v>0.34815972222222225</v>
      </c>
      <c r="J43" s="36">
        <v>1.0</v>
      </c>
      <c r="K43" s="37">
        <v>10.0</v>
      </c>
      <c r="L43" s="35" t="s">
        <v>353</v>
      </c>
      <c r="M43" s="35" t="s">
        <v>336</v>
      </c>
    </row>
    <row r="44" ht="15.75" customHeight="1">
      <c r="A44" s="49">
        <v>46174.34831018518</v>
      </c>
      <c r="B44" s="40">
        <v>46174.0</v>
      </c>
      <c r="C44" s="35" t="s">
        <v>243</v>
      </c>
      <c r="D44" s="35" t="s">
        <v>244</v>
      </c>
      <c r="E44" s="36">
        <v>10.0</v>
      </c>
      <c r="F44" s="35" t="s">
        <v>94</v>
      </c>
      <c r="G44" s="35" t="s">
        <v>66</v>
      </c>
      <c r="H44" s="35" t="s">
        <v>352</v>
      </c>
      <c r="I44" s="52">
        <v>0.3483101851851852</v>
      </c>
      <c r="J44" s="36">
        <v>1.0</v>
      </c>
      <c r="K44" s="37">
        <v>10.0</v>
      </c>
      <c r="L44" s="35" t="s">
        <v>353</v>
      </c>
      <c r="M44" s="35" t="s">
        <v>336</v>
      </c>
    </row>
    <row r="45" ht="15.75" customHeight="1">
      <c r="A45" s="49">
        <v>46174.34914351852</v>
      </c>
      <c r="B45" s="40">
        <v>46174.0</v>
      </c>
      <c r="C45" s="35" t="s">
        <v>247</v>
      </c>
      <c r="D45" s="35" t="s">
        <v>337</v>
      </c>
      <c r="E45" s="36">
        <v>10.0</v>
      </c>
      <c r="F45" s="35" t="s">
        <v>94</v>
      </c>
      <c r="G45" s="35" t="s">
        <v>66</v>
      </c>
      <c r="H45" s="35" t="s">
        <v>352</v>
      </c>
      <c r="I45" s="52">
        <v>0.3491435185185185</v>
      </c>
      <c r="J45" s="36">
        <v>1.0</v>
      </c>
      <c r="K45" s="37">
        <v>10.0</v>
      </c>
      <c r="L45" s="35" t="s">
        <v>353</v>
      </c>
      <c r="M45" s="35" t="s">
        <v>336</v>
      </c>
    </row>
    <row r="46" ht="15.75" customHeight="1">
      <c r="A46" s="49">
        <v>46174.353125</v>
      </c>
      <c r="B46" s="40">
        <v>46174.0</v>
      </c>
      <c r="C46" s="35" t="s">
        <v>249</v>
      </c>
      <c r="D46" s="35" t="s">
        <v>250</v>
      </c>
      <c r="E46" s="36">
        <v>10.0</v>
      </c>
      <c r="F46" s="35" t="s">
        <v>94</v>
      </c>
      <c r="G46" s="35" t="s">
        <v>66</v>
      </c>
      <c r="H46" s="35" t="s">
        <v>352</v>
      </c>
      <c r="I46" s="52">
        <v>0.353125</v>
      </c>
      <c r="J46" s="36">
        <v>1.0</v>
      </c>
      <c r="K46" s="37">
        <v>10.0</v>
      </c>
      <c r="L46" s="35" t="s">
        <v>353</v>
      </c>
      <c r="M46" s="35" t="s">
        <v>336</v>
      </c>
    </row>
    <row r="47" ht="15.75" customHeight="1">
      <c r="A47" s="49">
        <v>46174.35418981482</v>
      </c>
      <c r="B47" s="40">
        <v>46174.0</v>
      </c>
      <c r="C47" s="35" t="s">
        <v>240</v>
      </c>
      <c r="D47" s="35" t="s">
        <v>241</v>
      </c>
      <c r="E47" s="36">
        <v>10.0</v>
      </c>
      <c r="F47" s="35" t="s">
        <v>94</v>
      </c>
      <c r="G47" s="35" t="s">
        <v>66</v>
      </c>
      <c r="H47" s="35" t="s">
        <v>352</v>
      </c>
      <c r="I47" s="52">
        <v>0.3541898148148148</v>
      </c>
      <c r="J47" s="36">
        <v>1.0</v>
      </c>
      <c r="K47" s="37">
        <v>10.0</v>
      </c>
      <c r="L47" s="35" t="s">
        <v>353</v>
      </c>
      <c r="M47" s="35" t="s">
        <v>336</v>
      </c>
    </row>
    <row r="48" ht="15.75" customHeight="1">
      <c r="A48" s="49">
        <v>46174.35523148148</v>
      </c>
      <c r="B48" s="40">
        <v>46174.0</v>
      </c>
      <c r="C48" s="35" t="s">
        <v>92</v>
      </c>
      <c r="D48" s="35" t="s">
        <v>93</v>
      </c>
      <c r="E48" s="36">
        <v>10.0</v>
      </c>
      <c r="F48" s="35" t="s">
        <v>94</v>
      </c>
      <c r="G48" s="35" t="s">
        <v>66</v>
      </c>
      <c r="H48" s="35" t="s">
        <v>352</v>
      </c>
      <c r="I48" s="52">
        <v>0.3552314814814815</v>
      </c>
      <c r="J48" s="36">
        <v>1.0</v>
      </c>
      <c r="K48" s="37">
        <v>10.0</v>
      </c>
      <c r="L48" s="35" t="s">
        <v>353</v>
      </c>
      <c r="M48" s="35" t="s">
        <v>336</v>
      </c>
    </row>
    <row r="49" ht="15.75" customHeight="1">
      <c r="A49" s="49">
        <v>46174.36565972222</v>
      </c>
      <c r="B49" s="40">
        <v>46174.0</v>
      </c>
      <c r="C49" s="35" t="s">
        <v>103</v>
      </c>
      <c r="D49" s="35" t="s">
        <v>104</v>
      </c>
      <c r="E49" s="36">
        <v>10.0</v>
      </c>
      <c r="F49" s="35" t="s">
        <v>94</v>
      </c>
      <c r="G49" s="35" t="s">
        <v>66</v>
      </c>
      <c r="H49" s="35" t="s">
        <v>357</v>
      </c>
      <c r="I49" s="52">
        <v>0.3656597222222222</v>
      </c>
      <c r="J49" s="36">
        <v>0.0</v>
      </c>
      <c r="K49" s="37">
        <v>0.0</v>
      </c>
      <c r="L49" s="35" t="s">
        <v>360</v>
      </c>
      <c r="M49" s="35" t="s">
        <v>336</v>
      </c>
    </row>
    <row r="50" ht="15.75" customHeight="1">
      <c r="A50" s="49">
        <v>46174.367685185185</v>
      </c>
      <c r="B50" s="40">
        <v>46174.0</v>
      </c>
      <c r="C50" s="35" t="s">
        <v>255</v>
      </c>
      <c r="D50" s="35" t="s">
        <v>256</v>
      </c>
      <c r="E50" s="36">
        <v>10.0</v>
      </c>
      <c r="F50" s="35" t="s">
        <v>94</v>
      </c>
      <c r="G50" s="35" t="s">
        <v>66</v>
      </c>
      <c r="H50" s="35" t="s">
        <v>357</v>
      </c>
      <c r="I50" s="52">
        <v>0.36768518518518517</v>
      </c>
      <c r="J50" s="36">
        <v>0.0</v>
      </c>
      <c r="K50" s="37">
        <v>0.0</v>
      </c>
      <c r="L50" s="35" t="s">
        <v>360</v>
      </c>
      <c r="M50" s="35" t="s">
        <v>336</v>
      </c>
    </row>
    <row r="51" ht="15.75" customHeight="1">
      <c r="A51" s="49">
        <v>46174.369108796294</v>
      </c>
      <c r="B51" s="40">
        <v>46174.0</v>
      </c>
      <c r="C51" s="35" t="s">
        <v>245</v>
      </c>
      <c r="D51" s="35" t="s">
        <v>246</v>
      </c>
      <c r="E51" s="36">
        <v>10.0</v>
      </c>
      <c r="F51" s="35" t="s">
        <v>94</v>
      </c>
      <c r="G51" s="35" t="s">
        <v>66</v>
      </c>
      <c r="H51" s="35" t="s">
        <v>357</v>
      </c>
      <c r="I51" s="52">
        <v>0.3691087962962963</v>
      </c>
      <c r="J51" s="36">
        <v>0.0</v>
      </c>
      <c r="K51" s="37">
        <v>0.0</v>
      </c>
      <c r="L51" s="35" t="s">
        <v>359</v>
      </c>
      <c r="M51" s="35" t="s">
        <v>336</v>
      </c>
    </row>
    <row r="52" ht="15.75" customHeight="1">
      <c r="A52" s="49">
        <v>46174.37559027778</v>
      </c>
      <c r="B52" s="40">
        <v>46174.0</v>
      </c>
      <c r="C52" s="35" t="s">
        <v>253</v>
      </c>
      <c r="D52" s="35" t="s">
        <v>254</v>
      </c>
      <c r="E52" s="36">
        <v>10.0</v>
      </c>
      <c r="F52" s="35" t="s">
        <v>94</v>
      </c>
      <c r="G52" s="35" t="s">
        <v>66</v>
      </c>
      <c r="H52" s="35" t="s">
        <v>357</v>
      </c>
      <c r="I52" s="52">
        <v>0.37559027777777776</v>
      </c>
      <c r="J52" s="36">
        <v>0.0</v>
      </c>
      <c r="K52" s="37">
        <v>0.0</v>
      </c>
      <c r="L52" s="35" t="s">
        <v>360</v>
      </c>
      <c r="M52" s="35" t="s">
        <v>336</v>
      </c>
    </row>
    <row r="53" ht="15.75" customHeight="1">
      <c r="A53" s="49">
        <v>46175.34787037037</v>
      </c>
      <c r="B53" s="40">
        <v>46175.0</v>
      </c>
      <c r="C53" s="35" t="s">
        <v>97</v>
      </c>
      <c r="D53" s="35" t="s">
        <v>98</v>
      </c>
      <c r="E53" s="36">
        <v>10.0</v>
      </c>
      <c r="F53" s="35" t="s">
        <v>94</v>
      </c>
      <c r="G53" s="35" t="s">
        <v>66</v>
      </c>
      <c r="H53" s="35" t="s">
        <v>352</v>
      </c>
      <c r="I53" s="52">
        <v>0.3478703703703704</v>
      </c>
      <c r="J53" s="36">
        <v>2.0</v>
      </c>
      <c r="K53" s="37">
        <v>10.0</v>
      </c>
      <c r="L53" s="35" t="s">
        <v>353</v>
      </c>
      <c r="M53" s="35" t="s">
        <v>336</v>
      </c>
    </row>
    <row r="54" ht="15.75" customHeight="1">
      <c r="A54" s="49">
        <v>46175.34984953704</v>
      </c>
      <c r="B54" s="40">
        <v>46175.0</v>
      </c>
      <c r="C54" s="35" t="s">
        <v>251</v>
      </c>
      <c r="D54" s="35" t="s">
        <v>252</v>
      </c>
      <c r="E54" s="36">
        <v>10.0</v>
      </c>
      <c r="F54" s="35" t="s">
        <v>94</v>
      </c>
      <c r="G54" s="35" t="s">
        <v>66</v>
      </c>
      <c r="H54" s="35" t="s">
        <v>352</v>
      </c>
      <c r="I54" s="52">
        <v>0.34984953703703703</v>
      </c>
      <c r="J54" s="36">
        <v>2.0</v>
      </c>
      <c r="K54" s="37">
        <v>10.0</v>
      </c>
      <c r="L54" s="35" t="s">
        <v>353</v>
      </c>
      <c r="M54" s="35" t="s">
        <v>336</v>
      </c>
    </row>
    <row r="55" ht="15.75" customHeight="1">
      <c r="A55" s="49">
        <v>46175.35034722222</v>
      </c>
      <c r="B55" s="40">
        <v>46175.0</v>
      </c>
      <c r="C55" s="35" t="s">
        <v>243</v>
      </c>
      <c r="D55" s="35" t="s">
        <v>244</v>
      </c>
      <c r="E55" s="36">
        <v>10.0</v>
      </c>
      <c r="F55" s="35" t="s">
        <v>94</v>
      </c>
      <c r="G55" s="35" t="s">
        <v>66</v>
      </c>
      <c r="H55" s="35" t="s">
        <v>352</v>
      </c>
      <c r="I55" s="52">
        <v>0.3503472222222222</v>
      </c>
      <c r="J55" s="36">
        <v>2.0</v>
      </c>
      <c r="K55" s="37">
        <v>10.0</v>
      </c>
      <c r="L55" s="35" t="s">
        <v>353</v>
      </c>
      <c r="M55" s="35" t="s">
        <v>336</v>
      </c>
    </row>
    <row r="56" ht="15.75" customHeight="1">
      <c r="A56" s="49">
        <v>46175.35125</v>
      </c>
      <c r="B56" s="40">
        <v>46175.0</v>
      </c>
      <c r="C56" s="35" t="s">
        <v>247</v>
      </c>
      <c r="D56" s="35" t="s">
        <v>337</v>
      </c>
      <c r="E56" s="36">
        <v>10.0</v>
      </c>
      <c r="F56" s="35" t="s">
        <v>94</v>
      </c>
      <c r="G56" s="35" t="s">
        <v>66</v>
      </c>
      <c r="H56" s="35" t="s">
        <v>352</v>
      </c>
      <c r="I56" s="52">
        <v>0.35125</v>
      </c>
      <c r="J56" s="36">
        <v>2.0</v>
      </c>
      <c r="K56" s="37">
        <v>10.0</v>
      </c>
      <c r="L56" s="35" t="s">
        <v>353</v>
      </c>
      <c r="M56" s="35" t="s">
        <v>336</v>
      </c>
    </row>
    <row r="57" ht="15.75" customHeight="1">
      <c r="A57" s="49">
        <v>46175.352476851855</v>
      </c>
      <c r="B57" s="40">
        <v>46175.0</v>
      </c>
      <c r="C57" s="35" t="s">
        <v>249</v>
      </c>
      <c r="D57" s="35" t="s">
        <v>250</v>
      </c>
      <c r="E57" s="36">
        <v>10.0</v>
      </c>
      <c r="F57" s="35" t="s">
        <v>94</v>
      </c>
      <c r="G57" s="35" t="s">
        <v>66</v>
      </c>
      <c r="H57" s="35" t="s">
        <v>352</v>
      </c>
      <c r="I57" s="52">
        <v>0.35247685185185185</v>
      </c>
      <c r="J57" s="36">
        <v>2.0</v>
      </c>
      <c r="K57" s="37">
        <v>10.0</v>
      </c>
      <c r="L57" s="35" t="s">
        <v>353</v>
      </c>
      <c r="M57" s="35" t="s">
        <v>336</v>
      </c>
    </row>
    <row r="58" ht="15.75" customHeight="1">
      <c r="A58" s="49">
        <v>46175.35579861111</v>
      </c>
      <c r="B58" s="40">
        <v>46175.0</v>
      </c>
      <c r="C58" s="35" t="s">
        <v>255</v>
      </c>
      <c r="D58" s="35" t="s">
        <v>256</v>
      </c>
      <c r="E58" s="36">
        <v>10.0</v>
      </c>
      <c r="F58" s="35" t="s">
        <v>94</v>
      </c>
      <c r="G58" s="35" t="s">
        <v>66</v>
      </c>
      <c r="H58" s="35" t="s">
        <v>352</v>
      </c>
      <c r="I58" s="52">
        <v>0.3557986111111111</v>
      </c>
      <c r="J58" s="36">
        <v>1.0</v>
      </c>
      <c r="K58" s="37">
        <v>10.0</v>
      </c>
      <c r="L58" s="35" t="s">
        <v>353</v>
      </c>
      <c r="M58" s="35" t="s">
        <v>336</v>
      </c>
    </row>
    <row r="59" ht="15.75" customHeight="1">
      <c r="A59" s="49">
        <v>46175.35594907407</v>
      </c>
      <c r="B59" s="40">
        <v>46175.0</v>
      </c>
      <c r="C59" s="35" t="s">
        <v>253</v>
      </c>
      <c r="D59" s="35" t="s">
        <v>254</v>
      </c>
      <c r="E59" s="36">
        <v>10.0</v>
      </c>
      <c r="F59" s="35" t="s">
        <v>94</v>
      </c>
      <c r="G59" s="35" t="s">
        <v>66</v>
      </c>
      <c r="H59" s="35" t="s">
        <v>352</v>
      </c>
      <c r="I59" s="52">
        <v>0.35594907407407406</v>
      </c>
      <c r="J59" s="36">
        <v>1.0</v>
      </c>
      <c r="K59" s="37">
        <v>10.0</v>
      </c>
      <c r="L59" s="35" t="s">
        <v>353</v>
      </c>
      <c r="M59" s="35" t="s">
        <v>336</v>
      </c>
    </row>
    <row r="60" ht="15.75" customHeight="1">
      <c r="A60" s="49">
        <v>46175.35625</v>
      </c>
      <c r="B60" s="40">
        <v>46175.0</v>
      </c>
      <c r="C60" s="35" t="s">
        <v>240</v>
      </c>
      <c r="D60" s="35" t="s">
        <v>241</v>
      </c>
      <c r="E60" s="36">
        <v>10.0</v>
      </c>
      <c r="F60" s="35" t="s">
        <v>94</v>
      </c>
      <c r="G60" s="35" t="s">
        <v>66</v>
      </c>
      <c r="H60" s="35" t="s">
        <v>352</v>
      </c>
      <c r="I60" s="52">
        <v>0.35625</v>
      </c>
      <c r="J60" s="36">
        <v>2.0</v>
      </c>
      <c r="K60" s="37">
        <v>10.0</v>
      </c>
      <c r="L60" s="35" t="s">
        <v>353</v>
      </c>
      <c r="M60" s="35" t="s">
        <v>336</v>
      </c>
    </row>
    <row r="61" ht="15.75" customHeight="1">
      <c r="A61" s="49">
        <v>46175.3575462963</v>
      </c>
      <c r="B61" s="40">
        <v>46175.0</v>
      </c>
      <c r="C61" s="35" t="s">
        <v>103</v>
      </c>
      <c r="D61" s="35" t="s">
        <v>104</v>
      </c>
      <c r="E61" s="36">
        <v>10.0</v>
      </c>
      <c r="F61" s="35" t="s">
        <v>94</v>
      </c>
      <c r="G61" s="35" t="s">
        <v>66</v>
      </c>
      <c r="H61" s="35" t="s">
        <v>352</v>
      </c>
      <c r="I61" s="52">
        <v>0.3575462962962963</v>
      </c>
      <c r="J61" s="36">
        <v>1.0</v>
      </c>
      <c r="K61" s="37">
        <v>10.0</v>
      </c>
      <c r="L61" s="35" t="s">
        <v>353</v>
      </c>
      <c r="M61" s="35" t="s">
        <v>336</v>
      </c>
    </row>
    <row r="62" ht="15.75" customHeight="1">
      <c r="A62" s="49">
        <v>46175.35768518518</v>
      </c>
      <c r="B62" s="40">
        <v>46175.0</v>
      </c>
      <c r="C62" s="35" t="s">
        <v>92</v>
      </c>
      <c r="D62" s="35" t="s">
        <v>93</v>
      </c>
      <c r="E62" s="36">
        <v>10.0</v>
      </c>
      <c r="F62" s="35" t="s">
        <v>94</v>
      </c>
      <c r="G62" s="35" t="s">
        <v>66</v>
      </c>
      <c r="H62" s="35" t="s">
        <v>352</v>
      </c>
      <c r="I62" s="52">
        <v>0.35768518518518516</v>
      </c>
      <c r="J62" s="36">
        <v>2.0</v>
      </c>
      <c r="K62" s="37">
        <v>10.0</v>
      </c>
      <c r="L62" s="35" t="s">
        <v>353</v>
      </c>
      <c r="M62" s="35" t="s">
        <v>336</v>
      </c>
    </row>
    <row r="63" ht="15.75" customHeight="1">
      <c r="A63" s="49">
        <v>46175.37440972222</v>
      </c>
      <c r="B63" s="40">
        <v>46175.0</v>
      </c>
      <c r="C63" s="35" t="s">
        <v>245</v>
      </c>
      <c r="D63" s="35" t="s">
        <v>246</v>
      </c>
      <c r="E63" s="36">
        <v>10.0</v>
      </c>
      <c r="F63" s="35" t="s">
        <v>94</v>
      </c>
      <c r="G63" s="35" t="s">
        <v>66</v>
      </c>
      <c r="H63" s="35" t="s">
        <v>357</v>
      </c>
      <c r="I63" s="52">
        <v>0.37440972222222224</v>
      </c>
      <c r="J63" s="36">
        <v>0.0</v>
      </c>
      <c r="K63" s="37">
        <v>0.0</v>
      </c>
      <c r="L63" s="35" t="s">
        <v>359</v>
      </c>
      <c r="M63" s="35" t="s">
        <v>336</v>
      </c>
    </row>
    <row r="64" ht="15.75" customHeight="1">
      <c r="A64" s="49">
        <v>46177.34887731481</v>
      </c>
      <c r="B64" s="40">
        <v>46177.0</v>
      </c>
      <c r="C64" s="35" t="s">
        <v>249</v>
      </c>
      <c r="D64" s="35" t="s">
        <v>250</v>
      </c>
      <c r="E64" s="36">
        <v>10.0</v>
      </c>
      <c r="F64" s="35" t="s">
        <v>94</v>
      </c>
      <c r="G64" s="35" t="s">
        <v>66</v>
      </c>
      <c r="H64" s="35" t="s">
        <v>352</v>
      </c>
      <c r="I64" s="52">
        <v>0.3488773148148148</v>
      </c>
      <c r="J64" s="36">
        <v>1.0</v>
      </c>
      <c r="K64" s="37">
        <v>10.0</v>
      </c>
      <c r="L64" s="35" t="s">
        <v>353</v>
      </c>
      <c r="M64" s="35" t="s">
        <v>336</v>
      </c>
    </row>
    <row r="65" ht="15.75" customHeight="1">
      <c r="A65" s="49">
        <v>46177.349027777775</v>
      </c>
      <c r="B65" s="40">
        <v>46177.0</v>
      </c>
      <c r="C65" s="35" t="s">
        <v>251</v>
      </c>
      <c r="D65" s="35" t="s">
        <v>252</v>
      </c>
      <c r="E65" s="36">
        <v>10.0</v>
      </c>
      <c r="F65" s="35" t="s">
        <v>94</v>
      </c>
      <c r="G65" s="35" t="s">
        <v>66</v>
      </c>
      <c r="H65" s="35" t="s">
        <v>352</v>
      </c>
      <c r="I65" s="52">
        <v>0.34902777777777777</v>
      </c>
      <c r="J65" s="36">
        <v>1.0</v>
      </c>
      <c r="K65" s="37">
        <v>10.0</v>
      </c>
      <c r="L65" s="35" t="s">
        <v>353</v>
      </c>
      <c r="M65" s="35" t="s">
        <v>336</v>
      </c>
    </row>
    <row r="66" ht="15.75" customHeight="1">
      <c r="A66" s="49">
        <v>46177.34966435185</v>
      </c>
      <c r="B66" s="40">
        <v>46177.0</v>
      </c>
      <c r="C66" s="35" t="s">
        <v>243</v>
      </c>
      <c r="D66" s="35" t="s">
        <v>244</v>
      </c>
      <c r="E66" s="36">
        <v>10.0</v>
      </c>
      <c r="F66" s="35" t="s">
        <v>94</v>
      </c>
      <c r="G66" s="35" t="s">
        <v>66</v>
      </c>
      <c r="H66" s="35" t="s">
        <v>352</v>
      </c>
      <c r="I66" s="52">
        <v>0.34966435185185185</v>
      </c>
      <c r="J66" s="36">
        <v>1.0</v>
      </c>
      <c r="K66" s="37">
        <v>10.0</v>
      </c>
      <c r="L66" s="35" t="s">
        <v>353</v>
      </c>
      <c r="M66" s="35" t="s">
        <v>336</v>
      </c>
    </row>
    <row r="67" ht="15.75" customHeight="1">
      <c r="A67" s="49">
        <v>46177.34987268518</v>
      </c>
      <c r="B67" s="40">
        <v>46177.0</v>
      </c>
      <c r="C67" s="35" t="s">
        <v>97</v>
      </c>
      <c r="D67" s="35" t="s">
        <v>98</v>
      </c>
      <c r="E67" s="36">
        <v>10.0</v>
      </c>
      <c r="F67" s="35" t="s">
        <v>94</v>
      </c>
      <c r="G67" s="35" t="s">
        <v>66</v>
      </c>
      <c r="H67" s="35" t="s">
        <v>352</v>
      </c>
      <c r="I67" s="52">
        <v>0.34987268518518516</v>
      </c>
      <c r="J67" s="36">
        <v>1.0</v>
      </c>
      <c r="K67" s="37">
        <v>10.0</v>
      </c>
      <c r="L67" s="35" t="s">
        <v>353</v>
      </c>
      <c r="M67" s="35" t="s">
        <v>336</v>
      </c>
    </row>
    <row r="68" ht="15.75" customHeight="1">
      <c r="A68" s="49">
        <v>46177.356099537035</v>
      </c>
      <c r="B68" s="40">
        <v>46177.0</v>
      </c>
      <c r="C68" s="35" t="s">
        <v>247</v>
      </c>
      <c r="D68" s="35" t="s">
        <v>337</v>
      </c>
      <c r="E68" s="36">
        <v>10.0</v>
      </c>
      <c r="F68" s="35" t="s">
        <v>94</v>
      </c>
      <c r="G68" s="35" t="s">
        <v>66</v>
      </c>
      <c r="H68" s="35" t="s">
        <v>352</v>
      </c>
      <c r="I68" s="52">
        <v>0.35609953703703706</v>
      </c>
      <c r="J68" s="36">
        <v>1.0</v>
      </c>
      <c r="K68" s="37">
        <v>10.0</v>
      </c>
      <c r="L68" s="35" t="s">
        <v>353</v>
      </c>
      <c r="M68" s="35" t="s">
        <v>336</v>
      </c>
    </row>
    <row r="69" ht="15.75" customHeight="1">
      <c r="A69" s="49">
        <v>46177.356527777774</v>
      </c>
      <c r="B69" s="40">
        <v>46177.0</v>
      </c>
      <c r="C69" s="35" t="s">
        <v>92</v>
      </c>
      <c r="D69" s="35" t="s">
        <v>93</v>
      </c>
      <c r="E69" s="36">
        <v>10.0</v>
      </c>
      <c r="F69" s="35" t="s">
        <v>94</v>
      </c>
      <c r="G69" s="35" t="s">
        <v>66</v>
      </c>
      <c r="H69" s="35" t="s">
        <v>352</v>
      </c>
      <c r="I69" s="52">
        <v>0.3565277777777778</v>
      </c>
      <c r="J69" s="36">
        <v>1.0</v>
      </c>
      <c r="K69" s="37">
        <v>10.0</v>
      </c>
      <c r="L69" s="35" t="s">
        <v>353</v>
      </c>
      <c r="M69" s="35" t="s">
        <v>336</v>
      </c>
    </row>
    <row r="70" ht="15.75" customHeight="1">
      <c r="A70" s="49">
        <v>46177.35753472222</v>
      </c>
      <c r="B70" s="40">
        <v>46177.0</v>
      </c>
      <c r="C70" s="35" t="s">
        <v>361</v>
      </c>
      <c r="D70" s="35" t="s">
        <v>362</v>
      </c>
      <c r="E70" s="41"/>
      <c r="F70" s="41"/>
      <c r="G70" s="35" t="s">
        <v>66</v>
      </c>
      <c r="H70" s="35" t="s">
        <v>363</v>
      </c>
      <c r="I70" s="52">
        <v>0.3575347222222222</v>
      </c>
      <c r="J70" s="41"/>
      <c r="K70" s="37">
        <v>0.0</v>
      </c>
      <c r="L70" s="41"/>
      <c r="M70" s="35" t="s">
        <v>364</v>
      </c>
    </row>
    <row r="71" ht="15.75" customHeight="1">
      <c r="A71" s="49">
        <v>46177.35766203704</v>
      </c>
      <c r="B71" s="40">
        <v>46177.0</v>
      </c>
      <c r="C71" s="35" t="s">
        <v>253</v>
      </c>
      <c r="D71" s="35" t="s">
        <v>254</v>
      </c>
      <c r="E71" s="36">
        <v>10.0</v>
      </c>
      <c r="F71" s="35" t="s">
        <v>94</v>
      </c>
      <c r="G71" s="35" t="s">
        <v>66</v>
      </c>
      <c r="H71" s="35" t="s">
        <v>352</v>
      </c>
      <c r="I71" s="52">
        <v>0.35766203703703703</v>
      </c>
      <c r="J71" s="36">
        <v>1.0</v>
      </c>
      <c r="K71" s="37">
        <v>10.0</v>
      </c>
      <c r="L71" s="35" t="s">
        <v>353</v>
      </c>
      <c r="M71" s="35" t="s">
        <v>336</v>
      </c>
    </row>
    <row r="72" ht="15.75" customHeight="1">
      <c r="A72" s="49">
        <v>46177.35799768518</v>
      </c>
      <c r="B72" s="40">
        <v>46177.0</v>
      </c>
      <c r="C72" s="35" t="s">
        <v>103</v>
      </c>
      <c r="D72" s="35" t="s">
        <v>104</v>
      </c>
      <c r="E72" s="36">
        <v>10.0</v>
      </c>
      <c r="F72" s="35" t="s">
        <v>94</v>
      </c>
      <c r="G72" s="35" t="s">
        <v>66</v>
      </c>
      <c r="H72" s="35" t="s">
        <v>352</v>
      </c>
      <c r="I72" s="52">
        <v>0.3579976851851852</v>
      </c>
      <c r="J72" s="36">
        <v>1.0</v>
      </c>
      <c r="K72" s="37">
        <v>10.0</v>
      </c>
      <c r="L72" s="35" t="s">
        <v>353</v>
      </c>
      <c r="M72" s="35" t="s">
        <v>336</v>
      </c>
    </row>
    <row r="73" ht="15.75" customHeight="1">
      <c r="A73" s="49">
        <v>46177.358136574076</v>
      </c>
      <c r="B73" s="40">
        <v>46177.0</v>
      </c>
      <c r="C73" s="35" t="s">
        <v>255</v>
      </c>
      <c r="D73" s="35" t="s">
        <v>256</v>
      </c>
      <c r="E73" s="36">
        <v>10.0</v>
      </c>
      <c r="F73" s="35" t="s">
        <v>94</v>
      </c>
      <c r="G73" s="35" t="s">
        <v>66</v>
      </c>
      <c r="H73" s="35" t="s">
        <v>352</v>
      </c>
      <c r="I73" s="52">
        <v>0.35813657407407407</v>
      </c>
      <c r="J73" s="36">
        <v>1.0</v>
      </c>
      <c r="K73" s="37">
        <v>10.0</v>
      </c>
      <c r="L73" s="35" t="s">
        <v>353</v>
      </c>
      <c r="M73" s="35" t="s">
        <v>336</v>
      </c>
    </row>
    <row r="74" ht="15.75" customHeight="1">
      <c r="A74" s="49">
        <v>46177.35903935185</v>
      </c>
      <c r="B74" s="40">
        <v>46177.0</v>
      </c>
      <c r="C74" s="35" t="s">
        <v>240</v>
      </c>
      <c r="D74" s="35" t="s">
        <v>241</v>
      </c>
      <c r="E74" s="36">
        <v>10.0</v>
      </c>
      <c r="F74" s="35" t="s">
        <v>94</v>
      </c>
      <c r="G74" s="35" t="s">
        <v>66</v>
      </c>
      <c r="H74" s="35" t="s">
        <v>357</v>
      </c>
      <c r="I74" s="52">
        <v>0.3590393518518519</v>
      </c>
      <c r="J74" s="36">
        <v>0.0</v>
      </c>
      <c r="K74" s="37">
        <v>0.0</v>
      </c>
      <c r="L74" s="35" t="s">
        <v>360</v>
      </c>
      <c r="M74" s="35" t="s">
        <v>336</v>
      </c>
    </row>
    <row r="75" ht="15.75" customHeight="1">
      <c r="A75" s="49">
        <v>46177.364537037036</v>
      </c>
      <c r="B75" s="40">
        <v>46177.0</v>
      </c>
      <c r="C75" s="35" t="s">
        <v>245</v>
      </c>
      <c r="D75" s="35" t="s">
        <v>246</v>
      </c>
      <c r="E75" s="36">
        <v>10.0</v>
      </c>
      <c r="F75" s="35" t="s">
        <v>94</v>
      </c>
      <c r="G75" s="35" t="s">
        <v>66</v>
      </c>
      <c r="H75" s="35" t="s">
        <v>357</v>
      </c>
      <c r="I75" s="52">
        <v>0.36453703703703705</v>
      </c>
      <c r="J75" s="36">
        <v>0.0</v>
      </c>
      <c r="K75" s="37">
        <v>0.0</v>
      </c>
      <c r="L75" s="35" t="s">
        <v>359</v>
      </c>
      <c r="M75" s="35" t="s">
        <v>336</v>
      </c>
    </row>
    <row r="76" ht="15.75" customHeight="1">
      <c r="A76" s="49">
        <v>46178.34511574074</v>
      </c>
      <c r="B76" s="40">
        <v>46178.0</v>
      </c>
      <c r="C76" s="35" t="s">
        <v>247</v>
      </c>
      <c r="D76" s="35" t="s">
        <v>337</v>
      </c>
      <c r="E76" s="36">
        <v>10.0</v>
      </c>
      <c r="F76" s="35" t="s">
        <v>94</v>
      </c>
      <c r="G76" s="35" t="s">
        <v>66</v>
      </c>
      <c r="H76" s="35" t="s">
        <v>352</v>
      </c>
      <c r="I76" s="52">
        <v>0.34511574074074075</v>
      </c>
      <c r="J76" s="36">
        <v>2.0</v>
      </c>
      <c r="K76" s="37">
        <v>10.0</v>
      </c>
      <c r="L76" s="35" t="s">
        <v>353</v>
      </c>
      <c r="M76" s="35" t="s">
        <v>336</v>
      </c>
    </row>
    <row r="77" ht="15.75" customHeight="1">
      <c r="A77" s="49">
        <v>46178.345289351855</v>
      </c>
      <c r="B77" s="40">
        <v>46178.0</v>
      </c>
      <c r="C77" s="35" t="s">
        <v>97</v>
      </c>
      <c r="D77" s="35" t="s">
        <v>98</v>
      </c>
      <c r="E77" s="36">
        <v>10.0</v>
      </c>
      <c r="F77" s="35" t="s">
        <v>94</v>
      </c>
      <c r="G77" s="35" t="s">
        <v>66</v>
      </c>
      <c r="H77" s="35" t="s">
        <v>352</v>
      </c>
      <c r="I77" s="52">
        <v>0.34528935185185183</v>
      </c>
      <c r="J77" s="36">
        <v>2.0</v>
      </c>
      <c r="K77" s="37">
        <v>10.0</v>
      </c>
      <c r="L77" s="35" t="s">
        <v>353</v>
      </c>
      <c r="M77" s="35" t="s">
        <v>336</v>
      </c>
    </row>
    <row r="78" ht="15.75" customHeight="1">
      <c r="A78" s="49">
        <v>46178.34954861111</v>
      </c>
      <c r="B78" s="40">
        <v>46178.0</v>
      </c>
      <c r="C78" s="35" t="s">
        <v>251</v>
      </c>
      <c r="D78" s="35" t="s">
        <v>252</v>
      </c>
      <c r="E78" s="36">
        <v>10.0</v>
      </c>
      <c r="F78" s="35" t="s">
        <v>94</v>
      </c>
      <c r="G78" s="35" t="s">
        <v>66</v>
      </c>
      <c r="H78" s="35" t="s">
        <v>352</v>
      </c>
      <c r="I78" s="52">
        <v>0.34954861111111113</v>
      </c>
      <c r="J78" s="36">
        <v>2.0</v>
      </c>
      <c r="K78" s="37">
        <v>10.0</v>
      </c>
      <c r="L78" s="35" t="s">
        <v>353</v>
      </c>
      <c r="M78" s="35" t="s">
        <v>336</v>
      </c>
    </row>
    <row r="79" ht="15.75" customHeight="1">
      <c r="A79" s="49">
        <v>46178.35011574074</v>
      </c>
      <c r="B79" s="40">
        <v>46178.0</v>
      </c>
      <c r="C79" s="35" t="s">
        <v>243</v>
      </c>
      <c r="D79" s="35" t="s">
        <v>244</v>
      </c>
      <c r="E79" s="36">
        <v>10.0</v>
      </c>
      <c r="F79" s="35" t="s">
        <v>94</v>
      </c>
      <c r="G79" s="35" t="s">
        <v>66</v>
      </c>
      <c r="H79" s="35" t="s">
        <v>352</v>
      </c>
      <c r="I79" s="52">
        <v>0.35011574074074076</v>
      </c>
      <c r="J79" s="36">
        <v>2.0</v>
      </c>
      <c r="K79" s="37">
        <v>10.0</v>
      </c>
      <c r="L79" s="35" t="s">
        <v>353</v>
      </c>
      <c r="M79" s="35" t="s">
        <v>336</v>
      </c>
    </row>
    <row r="80" ht="15.75" customHeight="1">
      <c r="A80" s="49">
        <v>46178.35511574074</v>
      </c>
      <c r="B80" s="40">
        <v>46178.0</v>
      </c>
      <c r="C80" s="35" t="s">
        <v>92</v>
      </c>
      <c r="D80" s="35" t="s">
        <v>93</v>
      </c>
      <c r="E80" s="36">
        <v>10.0</v>
      </c>
      <c r="F80" s="35" t="s">
        <v>94</v>
      </c>
      <c r="G80" s="35" t="s">
        <v>66</v>
      </c>
      <c r="H80" s="35" t="s">
        <v>352</v>
      </c>
      <c r="I80" s="52">
        <v>0.35511574074074076</v>
      </c>
      <c r="J80" s="36">
        <v>2.0</v>
      </c>
      <c r="K80" s="37">
        <v>10.0</v>
      </c>
      <c r="L80" s="35" t="s">
        <v>353</v>
      </c>
      <c r="M80" s="35" t="s">
        <v>336</v>
      </c>
    </row>
    <row r="81" ht="15.75" customHeight="1">
      <c r="A81" s="49">
        <v>46178.356527777774</v>
      </c>
      <c r="B81" s="40">
        <v>46178.0</v>
      </c>
      <c r="C81" s="35" t="s">
        <v>255</v>
      </c>
      <c r="D81" s="35" t="s">
        <v>256</v>
      </c>
      <c r="E81" s="36">
        <v>10.0</v>
      </c>
      <c r="F81" s="35" t="s">
        <v>94</v>
      </c>
      <c r="G81" s="35" t="s">
        <v>66</v>
      </c>
      <c r="H81" s="35" t="s">
        <v>352</v>
      </c>
      <c r="I81" s="52">
        <v>0.3565277777777778</v>
      </c>
      <c r="J81" s="36">
        <v>2.0</v>
      </c>
      <c r="K81" s="37">
        <v>10.0</v>
      </c>
      <c r="L81" s="35" t="s">
        <v>353</v>
      </c>
      <c r="M81" s="35" t="s">
        <v>336</v>
      </c>
    </row>
    <row r="82" ht="15.75" customHeight="1">
      <c r="A82" s="49">
        <v>46178.357777777775</v>
      </c>
      <c r="B82" s="40">
        <v>46178.0</v>
      </c>
      <c r="C82" s="35" t="s">
        <v>240</v>
      </c>
      <c r="D82" s="35" t="s">
        <v>241</v>
      </c>
      <c r="E82" s="36">
        <v>10.0</v>
      </c>
      <c r="F82" s="35" t="s">
        <v>94</v>
      </c>
      <c r="G82" s="35" t="s">
        <v>66</v>
      </c>
      <c r="H82" s="35" t="s">
        <v>352</v>
      </c>
      <c r="I82" s="52">
        <v>0.35777777777777775</v>
      </c>
      <c r="J82" s="36">
        <v>1.0</v>
      </c>
      <c r="K82" s="37">
        <v>10.0</v>
      </c>
      <c r="L82" s="35" t="s">
        <v>353</v>
      </c>
      <c r="M82" s="35" t="s">
        <v>336</v>
      </c>
    </row>
    <row r="83" ht="15.75" customHeight="1">
      <c r="A83" s="49">
        <v>46178.375127314815</v>
      </c>
      <c r="B83" s="40">
        <v>46178.0</v>
      </c>
      <c r="C83" s="35" t="s">
        <v>103</v>
      </c>
      <c r="D83" s="35" t="s">
        <v>104</v>
      </c>
      <c r="E83" s="36">
        <v>10.0</v>
      </c>
      <c r="F83" s="35" t="s">
        <v>94</v>
      </c>
      <c r="G83" s="35" t="s">
        <v>66</v>
      </c>
      <c r="H83" s="35" t="s">
        <v>357</v>
      </c>
      <c r="I83" s="52">
        <v>0.3751273148148148</v>
      </c>
      <c r="J83" s="36">
        <v>0.0</v>
      </c>
      <c r="K83" s="37">
        <v>0.0</v>
      </c>
      <c r="L83" s="35" t="s">
        <v>360</v>
      </c>
      <c r="M83" s="35" t="s">
        <v>336</v>
      </c>
    </row>
    <row r="84" ht="15.75" customHeight="1">
      <c r="A84" s="49">
        <v>46178.55480324074</v>
      </c>
      <c r="B84" s="40">
        <v>46178.0</v>
      </c>
      <c r="C84" s="35" t="s">
        <v>103</v>
      </c>
      <c r="D84" s="35" t="s">
        <v>104</v>
      </c>
      <c r="E84" s="36">
        <v>10.0</v>
      </c>
      <c r="F84" s="35" t="s">
        <v>94</v>
      </c>
      <c r="G84" s="35" t="s">
        <v>66</v>
      </c>
      <c r="H84" s="35" t="s">
        <v>354</v>
      </c>
      <c r="I84" s="52">
        <v>0.5548032407407407</v>
      </c>
      <c r="J84" s="41"/>
      <c r="K84" s="37">
        <v>0.0</v>
      </c>
      <c r="L84" s="35" t="s">
        <v>355</v>
      </c>
      <c r="M84" s="35" t="s">
        <v>356</v>
      </c>
    </row>
    <row r="85" ht="15.75" customHeight="1">
      <c r="A85" s="49">
        <v>46181.343506944446</v>
      </c>
      <c r="B85" s="40">
        <v>46181.0</v>
      </c>
      <c r="C85" s="35" t="s">
        <v>251</v>
      </c>
      <c r="D85" s="35" t="s">
        <v>252</v>
      </c>
      <c r="E85" s="36">
        <v>10.0</v>
      </c>
      <c r="F85" s="35" t="s">
        <v>94</v>
      </c>
      <c r="G85" s="35" t="s">
        <v>66</v>
      </c>
      <c r="H85" s="35" t="s">
        <v>352</v>
      </c>
      <c r="I85" s="52">
        <v>0.34350694444444446</v>
      </c>
      <c r="J85" s="36">
        <v>1.0</v>
      </c>
      <c r="K85" s="37">
        <v>10.0</v>
      </c>
      <c r="L85" s="35" t="s">
        <v>353</v>
      </c>
      <c r="M85" s="35" t="s">
        <v>336</v>
      </c>
    </row>
    <row r="86" ht="15.75" customHeight="1">
      <c r="A86" s="49">
        <v>46181.348703703705</v>
      </c>
      <c r="B86" s="40">
        <v>46181.0</v>
      </c>
      <c r="C86" s="35" t="s">
        <v>243</v>
      </c>
      <c r="D86" s="35" t="s">
        <v>244</v>
      </c>
      <c r="E86" s="36">
        <v>10.0</v>
      </c>
      <c r="F86" s="35" t="s">
        <v>94</v>
      </c>
      <c r="G86" s="35" t="s">
        <v>66</v>
      </c>
      <c r="H86" s="35" t="s">
        <v>352</v>
      </c>
      <c r="I86" s="52">
        <v>0.3487037037037037</v>
      </c>
      <c r="J86" s="36">
        <v>1.0</v>
      </c>
      <c r="K86" s="37">
        <v>10.0</v>
      </c>
      <c r="L86" s="35" t="s">
        <v>353</v>
      </c>
      <c r="M86" s="35" t="s">
        <v>336</v>
      </c>
    </row>
    <row r="87" ht="15.75" customHeight="1">
      <c r="A87" s="49">
        <v>46181.34886574074</v>
      </c>
      <c r="B87" s="40">
        <v>46181.0</v>
      </c>
      <c r="C87" s="35" t="s">
        <v>243</v>
      </c>
      <c r="D87" s="35" t="s">
        <v>244</v>
      </c>
      <c r="E87" s="36">
        <v>10.0</v>
      </c>
      <c r="F87" s="35" t="s">
        <v>94</v>
      </c>
      <c r="G87" s="35" t="s">
        <v>66</v>
      </c>
      <c r="H87" s="35" t="s">
        <v>354</v>
      </c>
      <c r="I87" s="52">
        <v>0.3488657407407407</v>
      </c>
      <c r="J87" s="41"/>
      <c r="K87" s="37">
        <v>0.0</v>
      </c>
      <c r="L87" s="35" t="s">
        <v>355</v>
      </c>
      <c r="M87" s="35" t="s">
        <v>356</v>
      </c>
    </row>
    <row r="88" ht="15.75" customHeight="1">
      <c r="A88" s="49">
        <v>46181.34921296296</v>
      </c>
      <c r="B88" s="40">
        <v>46181.0</v>
      </c>
      <c r="C88" s="35" t="s">
        <v>97</v>
      </c>
      <c r="D88" s="35" t="s">
        <v>98</v>
      </c>
      <c r="E88" s="36">
        <v>10.0</v>
      </c>
      <c r="F88" s="35" t="s">
        <v>94</v>
      </c>
      <c r="G88" s="35" t="s">
        <v>66</v>
      </c>
      <c r="H88" s="35" t="s">
        <v>352</v>
      </c>
      <c r="I88" s="52">
        <v>0.34921296296296295</v>
      </c>
      <c r="J88" s="36">
        <v>1.0</v>
      </c>
      <c r="K88" s="37">
        <v>10.0</v>
      </c>
      <c r="L88" s="35" t="s">
        <v>353</v>
      </c>
      <c r="M88" s="35" t="s">
        <v>336</v>
      </c>
    </row>
    <row r="89" ht="15.75" customHeight="1">
      <c r="A89" s="49">
        <v>46181.350648148145</v>
      </c>
      <c r="B89" s="40">
        <v>46181.0</v>
      </c>
      <c r="C89" s="35" t="s">
        <v>103</v>
      </c>
      <c r="D89" s="35" t="s">
        <v>104</v>
      </c>
      <c r="E89" s="36">
        <v>10.0</v>
      </c>
      <c r="F89" s="35" t="s">
        <v>94</v>
      </c>
      <c r="G89" s="35" t="s">
        <v>66</v>
      </c>
      <c r="H89" s="35" t="s">
        <v>352</v>
      </c>
      <c r="I89" s="52">
        <v>0.35064814814814815</v>
      </c>
      <c r="J89" s="36">
        <v>1.0</v>
      </c>
      <c r="K89" s="37">
        <v>10.0</v>
      </c>
      <c r="L89" s="35" t="s">
        <v>353</v>
      </c>
      <c r="M89" s="35" t="s">
        <v>336</v>
      </c>
    </row>
    <row r="90" ht="15.75" customHeight="1">
      <c r="A90" s="49">
        <v>46181.35194444445</v>
      </c>
      <c r="B90" s="40">
        <v>46181.0</v>
      </c>
      <c r="C90" s="35" t="s">
        <v>247</v>
      </c>
      <c r="D90" s="35" t="s">
        <v>248</v>
      </c>
      <c r="E90" s="36">
        <v>10.0</v>
      </c>
      <c r="F90" s="35" t="s">
        <v>94</v>
      </c>
      <c r="G90" s="35" t="s">
        <v>66</v>
      </c>
      <c r="H90" s="35" t="s">
        <v>352</v>
      </c>
      <c r="I90" s="52">
        <v>0.35194444444444445</v>
      </c>
      <c r="J90" s="36">
        <v>1.0</v>
      </c>
      <c r="K90" s="37">
        <v>10.0</v>
      </c>
      <c r="L90" s="35" t="s">
        <v>353</v>
      </c>
      <c r="M90" s="35" t="s">
        <v>336</v>
      </c>
    </row>
    <row r="91" ht="15.75" customHeight="1">
      <c r="A91" s="49">
        <v>46181.35407407407</v>
      </c>
      <c r="B91" s="40">
        <v>46181.0</v>
      </c>
      <c r="C91" s="35" t="s">
        <v>249</v>
      </c>
      <c r="D91" s="35" t="s">
        <v>250</v>
      </c>
      <c r="E91" s="36">
        <v>10.0</v>
      </c>
      <c r="F91" s="35" t="s">
        <v>94</v>
      </c>
      <c r="G91" s="35" t="s">
        <v>66</v>
      </c>
      <c r="H91" s="35" t="s">
        <v>352</v>
      </c>
      <c r="I91" s="52">
        <v>0.3540740740740741</v>
      </c>
      <c r="J91" s="36">
        <v>1.0</v>
      </c>
      <c r="K91" s="37">
        <v>10.0</v>
      </c>
      <c r="L91" s="35" t="s">
        <v>353</v>
      </c>
      <c r="M91" s="35" t="s">
        <v>336</v>
      </c>
    </row>
    <row r="92" ht="15.75" customHeight="1">
      <c r="A92" s="49">
        <v>46181.35697916667</v>
      </c>
      <c r="B92" s="40">
        <v>46181.0</v>
      </c>
      <c r="C92" s="35" t="s">
        <v>255</v>
      </c>
      <c r="D92" s="35" t="s">
        <v>256</v>
      </c>
      <c r="E92" s="36">
        <v>10.0</v>
      </c>
      <c r="F92" s="35" t="s">
        <v>94</v>
      </c>
      <c r="G92" s="35" t="s">
        <v>66</v>
      </c>
      <c r="H92" s="35" t="s">
        <v>352</v>
      </c>
      <c r="I92" s="52">
        <v>0.3569791666666667</v>
      </c>
      <c r="J92" s="36">
        <v>1.0</v>
      </c>
      <c r="K92" s="37">
        <v>10.0</v>
      </c>
      <c r="L92" s="35" t="s">
        <v>353</v>
      </c>
      <c r="M92" s="35" t="s">
        <v>336</v>
      </c>
    </row>
    <row r="93" ht="15.75" customHeight="1">
      <c r="A93" s="49">
        <v>46181.357141203705</v>
      </c>
      <c r="B93" s="40">
        <v>46181.0</v>
      </c>
      <c r="C93" s="35" t="s">
        <v>253</v>
      </c>
      <c r="D93" s="35" t="s">
        <v>254</v>
      </c>
      <c r="E93" s="36">
        <v>10.0</v>
      </c>
      <c r="F93" s="35" t="s">
        <v>94</v>
      </c>
      <c r="G93" s="35" t="s">
        <v>66</v>
      </c>
      <c r="H93" s="35" t="s">
        <v>352</v>
      </c>
      <c r="I93" s="52">
        <v>0.3571412037037037</v>
      </c>
      <c r="J93" s="36">
        <v>1.0</v>
      </c>
      <c r="K93" s="37">
        <v>10.0</v>
      </c>
      <c r="L93" s="35" t="s">
        <v>353</v>
      </c>
      <c r="M93" s="35" t="s">
        <v>336</v>
      </c>
    </row>
    <row r="94" ht="15.75" customHeight="1">
      <c r="A94" s="49">
        <v>46181.35736111111</v>
      </c>
      <c r="B94" s="40">
        <v>46181.0</v>
      </c>
      <c r="C94" s="35" t="s">
        <v>240</v>
      </c>
      <c r="D94" s="35" t="s">
        <v>241</v>
      </c>
      <c r="E94" s="36">
        <v>10.0</v>
      </c>
      <c r="F94" s="35" t="s">
        <v>94</v>
      </c>
      <c r="G94" s="35" t="s">
        <v>66</v>
      </c>
      <c r="H94" s="35" t="s">
        <v>352</v>
      </c>
      <c r="I94" s="52">
        <v>0.35736111111111113</v>
      </c>
      <c r="J94" s="36">
        <v>1.0</v>
      </c>
      <c r="K94" s="37">
        <v>10.0</v>
      </c>
      <c r="L94" s="35" t="s">
        <v>353</v>
      </c>
      <c r="M94" s="35" t="s">
        <v>336</v>
      </c>
    </row>
    <row r="95" ht="15.75" customHeight="1">
      <c r="A95" s="49">
        <v>46181.366122685184</v>
      </c>
      <c r="B95" s="40">
        <v>46181.0</v>
      </c>
      <c r="C95" s="35" t="s">
        <v>245</v>
      </c>
      <c r="D95" s="35" t="s">
        <v>246</v>
      </c>
      <c r="E95" s="36">
        <v>10.0</v>
      </c>
      <c r="F95" s="35" t="s">
        <v>94</v>
      </c>
      <c r="G95" s="35" t="s">
        <v>66</v>
      </c>
      <c r="H95" s="35" t="s">
        <v>357</v>
      </c>
      <c r="I95" s="52">
        <v>0.3661226851851852</v>
      </c>
      <c r="J95" s="36">
        <v>0.0</v>
      </c>
      <c r="K95" s="37">
        <v>0.0</v>
      </c>
      <c r="L95" s="35" t="s">
        <v>360</v>
      </c>
      <c r="M95" s="35" t="s">
        <v>336</v>
      </c>
    </row>
    <row r="96" ht="15.75" customHeight="1">
      <c r="A96" s="49">
        <v>46182.34721064815</v>
      </c>
      <c r="B96" s="40">
        <v>46182.0</v>
      </c>
      <c r="C96" s="35" t="s">
        <v>97</v>
      </c>
      <c r="D96" s="35" t="s">
        <v>98</v>
      </c>
      <c r="E96" s="36">
        <v>10.0</v>
      </c>
      <c r="F96" s="35" t="s">
        <v>94</v>
      </c>
      <c r="G96" s="35" t="s">
        <v>66</v>
      </c>
      <c r="H96" s="35" t="s">
        <v>352</v>
      </c>
      <c r="I96" s="52">
        <v>0.34721064814814817</v>
      </c>
      <c r="J96" s="36">
        <v>2.0</v>
      </c>
      <c r="K96" s="37">
        <v>10.0</v>
      </c>
      <c r="L96" s="35" t="s">
        <v>353</v>
      </c>
      <c r="M96" s="35" t="s">
        <v>336</v>
      </c>
    </row>
    <row r="97" ht="15.75" customHeight="1">
      <c r="A97" s="49">
        <v>46182.34798611111</v>
      </c>
      <c r="B97" s="40">
        <v>46182.0</v>
      </c>
      <c r="C97" s="35" t="s">
        <v>251</v>
      </c>
      <c r="D97" s="35" t="s">
        <v>252</v>
      </c>
      <c r="E97" s="36">
        <v>10.0</v>
      </c>
      <c r="F97" s="35" t="s">
        <v>94</v>
      </c>
      <c r="G97" s="35" t="s">
        <v>66</v>
      </c>
      <c r="H97" s="35" t="s">
        <v>352</v>
      </c>
      <c r="I97" s="52">
        <v>0.3479861111111111</v>
      </c>
      <c r="J97" s="36">
        <v>2.0</v>
      </c>
      <c r="K97" s="37">
        <v>10.0</v>
      </c>
      <c r="L97" s="35" t="s">
        <v>353</v>
      </c>
      <c r="M97" s="35" t="s">
        <v>336</v>
      </c>
    </row>
    <row r="98" ht="15.75" customHeight="1">
      <c r="A98" s="49">
        <v>46182.3516087963</v>
      </c>
      <c r="B98" s="40">
        <v>46182.0</v>
      </c>
      <c r="C98" s="35" t="s">
        <v>243</v>
      </c>
      <c r="D98" s="35" t="s">
        <v>244</v>
      </c>
      <c r="E98" s="36">
        <v>10.0</v>
      </c>
      <c r="F98" s="35" t="s">
        <v>94</v>
      </c>
      <c r="G98" s="35" t="s">
        <v>66</v>
      </c>
      <c r="H98" s="35" t="s">
        <v>352</v>
      </c>
      <c r="I98" s="52">
        <v>0.3516087962962963</v>
      </c>
      <c r="J98" s="36">
        <v>2.0</v>
      </c>
      <c r="K98" s="37">
        <v>10.0</v>
      </c>
      <c r="L98" s="35" t="s">
        <v>353</v>
      </c>
      <c r="M98" s="35" t="s">
        <v>336</v>
      </c>
    </row>
    <row r="99" ht="15.75" customHeight="1">
      <c r="A99" s="49">
        <v>46182.35254629629</v>
      </c>
      <c r="B99" s="40">
        <v>46182.0</v>
      </c>
      <c r="C99" s="35" t="s">
        <v>247</v>
      </c>
      <c r="D99" s="35" t="s">
        <v>248</v>
      </c>
      <c r="E99" s="36">
        <v>10.0</v>
      </c>
      <c r="F99" s="35" t="s">
        <v>94</v>
      </c>
      <c r="G99" s="35" t="s">
        <v>66</v>
      </c>
      <c r="H99" s="35" t="s">
        <v>352</v>
      </c>
      <c r="I99" s="52">
        <v>0.3525462962962963</v>
      </c>
      <c r="J99" s="36">
        <v>2.0</v>
      </c>
      <c r="K99" s="37">
        <v>10.0</v>
      </c>
      <c r="L99" s="35" t="s">
        <v>353</v>
      </c>
      <c r="M99" s="35" t="s">
        <v>336</v>
      </c>
    </row>
    <row r="100" ht="15.75" customHeight="1">
      <c r="A100" s="49">
        <v>46182.353796296295</v>
      </c>
      <c r="B100" s="40">
        <v>46182.0</v>
      </c>
      <c r="C100" s="35" t="s">
        <v>253</v>
      </c>
      <c r="D100" s="35" t="s">
        <v>254</v>
      </c>
      <c r="E100" s="36">
        <v>10.0</v>
      </c>
      <c r="F100" s="35" t="s">
        <v>94</v>
      </c>
      <c r="G100" s="35" t="s">
        <v>66</v>
      </c>
      <c r="H100" s="35" t="s">
        <v>352</v>
      </c>
      <c r="I100" s="52">
        <v>0.3537962962962963</v>
      </c>
      <c r="J100" s="36">
        <v>2.0</v>
      </c>
      <c r="K100" s="37">
        <v>10.0</v>
      </c>
      <c r="L100" s="35" t="s">
        <v>353</v>
      </c>
      <c r="M100" s="35" t="s">
        <v>336</v>
      </c>
    </row>
    <row r="101" ht="15.75" customHeight="1">
      <c r="A101" s="49">
        <v>46182.35471064815</v>
      </c>
      <c r="B101" s="40">
        <v>46182.0</v>
      </c>
      <c r="C101" s="35" t="s">
        <v>92</v>
      </c>
      <c r="D101" s="35" t="s">
        <v>93</v>
      </c>
      <c r="E101" s="36">
        <v>10.0</v>
      </c>
      <c r="F101" s="35" t="s">
        <v>94</v>
      </c>
      <c r="G101" s="35" t="s">
        <v>66</v>
      </c>
      <c r="H101" s="35" t="s">
        <v>352</v>
      </c>
      <c r="I101" s="52">
        <v>0.3547106481481481</v>
      </c>
      <c r="J101" s="36">
        <v>1.0</v>
      </c>
      <c r="K101" s="37">
        <v>10.0</v>
      </c>
      <c r="L101" s="35" t="s">
        <v>353</v>
      </c>
      <c r="M101" s="35" t="s">
        <v>336</v>
      </c>
    </row>
    <row r="102" ht="15.75" customHeight="1">
      <c r="A102" s="49">
        <v>46182.35686342593</v>
      </c>
      <c r="B102" s="40">
        <v>46182.0</v>
      </c>
      <c r="C102" s="35" t="s">
        <v>255</v>
      </c>
      <c r="D102" s="35" t="s">
        <v>256</v>
      </c>
      <c r="E102" s="36">
        <v>10.0</v>
      </c>
      <c r="F102" s="35" t="s">
        <v>94</v>
      </c>
      <c r="G102" s="35" t="s">
        <v>66</v>
      </c>
      <c r="H102" s="35" t="s">
        <v>352</v>
      </c>
      <c r="I102" s="52">
        <v>0.3568634259259259</v>
      </c>
      <c r="J102" s="36">
        <v>2.0</v>
      </c>
      <c r="K102" s="37">
        <v>10.0</v>
      </c>
      <c r="L102" s="35" t="s">
        <v>353</v>
      </c>
      <c r="M102" s="35" t="s">
        <v>336</v>
      </c>
    </row>
    <row r="103" ht="15.75" customHeight="1">
      <c r="A103" s="49">
        <v>46182.35724537037</v>
      </c>
      <c r="B103" s="40">
        <v>46182.0</v>
      </c>
      <c r="C103" s="35" t="s">
        <v>240</v>
      </c>
      <c r="D103" s="35" t="s">
        <v>241</v>
      </c>
      <c r="E103" s="36">
        <v>10.0</v>
      </c>
      <c r="F103" s="35" t="s">
        <v>94</v>
      </c>
      <c r="G103" s="35" t="s">
        <v>66</v>
      </c>
      <c r="H103" s="35" t="s">
        <v>352</v>
      </c>
      <c r="I103" s="52">
        <v>0.35724537037037035</v>
      </c>
      <c r="J103" s="36">
        <v>2.0</v>
      </c>
      <c r="K103" s="37">
        <v>10.0</v>
      </c>
      <c r="L103" s="35" t="s">
        <v>353</v>
      </c>
      <c r="M103" s="35" t="s">
        <v>336</v>
      </c>
    </row>
    <row r="104" ht="15.75" customHeight="1">
      <c r="A104" s="49">
        <v>46182.35805555555</v>
      </c>
      <c r="B104" s="40">
        <v>46182.0</v>
      </c>
      <c r="C104" s="35" t="s">
        <v>103</v>
      </c>
      <c r="D104" s="35" t="s">
        <v>104</v>
      </c>
      <c r="E104" s="36">
        <v>10.0</v>
      </c>
      <c r="F104" s="35" t="s">
        <v>94</v>
      </c>
      <c r="G104" s="35" t="s">
        <v>66</v>
      </c>
      <c r="H104" s="35" t="s">
        <v>352</v>
      </c>
      <c r="I104" s="52">
        <v>0.35805555555555557</v>
      </c>
      <c r="J104" s="36">
        <v>2.0</v>
      </c>
      <c r="K104" s="37">
        <v>10.0</v>
      </c>
      <c r="L104" s="35" t="s">
        <v>353</v>
      </c>
      <c r="M104" s="35" t="s">
        <v>336</v>
      </c>
    </row>
    <row r="105" ht="15.75" customHeight="1">
      <c r="A105" s="49">
        <v>46183.34607638889</v>
      </c>
      <c r="B105" s="40">
        <v>46183.0</v>
      </c>
      <c r="C105" s="35" t="s">
        <v>247</v>
      </c>
      <c r="D105" s="35" t="s">
        <v>248</v>
      </c>
      <c r="E105" s="36">
        <v>10.0</v>
      </c>
      <c r="F105" s="35" t="s">
        <v>94</v>
      </c>
      <c r="G105" s="35" t="s">
        <v>66</v>
      </c>
      <c r="H105" s="35" t="s">
        <v>352</v>
      </c>
      <c r="I105" s="52">
        <v>0.34607638888888886</v>
      </c>
      <c r="J105" s="36">
        <v>3.0</v>
      </c>
      <c r="K105" s="37">
        <v>10.0</v>
      </c>
      <c r="L105" s="35" t="s">
        <v>353</v>
      </c>
      <c r="M105" s="35" t="s">
        <v>336</v>
      </c>
    </row>
    <row r="106" ht="15.75" customHeight="1">
      <c r="A106" s="49">
        <v>46183.350486111114</v>
      </c>
      <c r="B106" s="40">
        <v>46183.0</v>
      </c>
      <c r="C106" s="35" t="s">
        <v>97</v>
      </c>
      <c r="D106" s="35" t="s">
        <v>98</v>
      </c>
      <c r="E106" s="36">
        <v>10.0</v>
      </c>
      <c r="F106" s="35" t="s">
        <v>94</v>
      </c>
      <c r="G106" s="35" t="s">
        <v>66</v>
      </c>
      <c r="H106" s="35" t="s">
        <v>352</v>
      </c>
      <c r="I106" s="52">
        <v>0.3504861111111111</v>
      </c>
      <c r="J106" s="36">
        <v>3.0</v>
      </c>
      <c r="K106" s="37">
        <v>10.0</v>
      </c>
      <c r="L106" s="35" t="s">
        <v>353</v>
      </c>
      <c r="M106" s="35" t="s">
        <v>336</v>
      </c>
    </row>
    <row r="107" ht="15.75" customHeight="1">
      <c r="A107" s="49">
        <v>46183.35239583333</v>
      </c>
      <c r="B107" s="40">
        <v>46183.0</v>
      </c>
      <c r="C107" s="35" t="s">
        <v>251</v>
      </c>
      <c r="D107" s="35" t="s">
        <v>252</v>
      </c>
      <c r="E107" s="36">
        <v>10.0</v>
      </c>
      <c r="F107" s="35" t="s">
        <v>94</v>
      </c>
      <c r="G107" s="35" t="s">
        <v>66</v>
      </c>
      <c r="H107" s="35" t="s">
        <v>352</v>
      </c>
      <c r="I107" s="52">
        <v>0.35239583333333335</v>
      </c>
      <c r="J107" s="36">
        <v>3.0</v>
      </c>
      <c r="K107" s="37">
        <v>10.0</v>
      </c>
      <c r="L107" s="35" t="s">
        <v>353</v>
      </c>
      <c r="M107" s="35" t="s">
        <v>336</v>
      </c>
    </row>
    <row r="108" ht="15.75" customHeight="1">
      <c r="A108" s="49">
        <v>46183.35349537037</v>
      </c>
      <c r="B108" s="40">
        <v>46183.0</v>
      </c>
      <c r="C108" s="35" t="s">
        <v>243</v>
      </c>
      <c r="D108" s="35" t="s">
        <v>244</v>
      </c>
      <c r="E108" s="36">
        <v>10.0</v>
      </c>
      <c r="F108" s="35" t="s">
        <v>94</v>
      </c>
      <c r="G108" s="35" t="s">
        <v>66</v>
      </c>
      <c r="H108" s="35" t="s">
        <v>352</v>
      </c>
      <c r="I108" s="52">
        <v>0.3534953703703704</v>
      </c>
      <c r="J108" s="36">
        <v>3.0</v>
      </c>
      <c r="K108" s="37">
        <v>10.0</v>
      </c>
      <c r="L108" s="35" t="s">
        <v>353</v>
      </c>
      <c r="M108" s="35" t="s">
        <v>336</v>
      </c>
    </row>
    <row r="109" ht="15.75" customHeight="1">
      <c r="A109" s="49">
        <v>46183.355</v>
      </c>
      <c r="B109" s="40">
        <v>46183.0</v>
      </c>
      <c r="C109" s="35" t="s">
        <v>92</v>
      </c>
      <c r="D109" s="35" t="s">
        <v>93</v>
      </c>
      <c r="E109" s="36">
        <v>10.0</v>
      </c>
      <c r="F109" s="35" t="s">
        <v>94</v>
      </c>
      <c r="G109" s="35" t="s">
        <v>66</v>
      </c>
      <c r="H109" s="35" t="s">
        <v>352</v>
      </c>
      <c r="I109" s="52">
        <v>0.355</v>
      </c>
      <c r="J109" s="36">
        <v>2.0</v>
      </c>
      <c r="K109" s="37">
        <v>10.0</v>
      </c>
      <c r="L109" s="35" t="s">
        <v>353</v>
      </c>
      <c r="M109" s="35" t="s">
        <v>336</v>
      </c>
    </row>
    <row r="110" ht="15.75" customHeight="1">
      <c r="A110" s="49">
        <v>46183.35625</v>
      </c>
      <c r="B110" s="40">
        <v>46183.0</v>
      </c>
      <c r="C110" s="35" t="s">
        <v>253</v>
      </c>
      <c r="D110" s="35" t="s">
        <v>254</v>
      </c>
      <c r="E110" s="36">
        <v>10.0</v>
      </c>
      <c r="F110" s="35" t="s">
        <v>94</v>
      </c>
      <c r="G110" s="35" t="s">
        <v>66</v>
      </c>
      <c r="H110" s="35" t="s">
        <v>352</v>
      </c>
      <c r="I110" s="52">
        <v>0.35625</v>
      </c>
      <c r="J110" s="36">
        <v>3.0</v>
      </c>
      <c r="K110" s="37">
        <v>10.0</v>
      </c>
      <c r="L110" s="35" t="s">
        <v>353</v>
      </c>
      <c r="M110" s="35" t="s">
        <v>336</v>
      </c>
    </row>
    <row r="111" ht="15.75" customHeight="1">
      <c r="A111" s="49">
        <v>46183.35674768518</v>
      </c>
      <c r="B111" s="40">
        <v>46183.0</v>
      </c>
      <c r="C111" s="35" t="s">
        <v>240</v>
      </c>
      <c r="D111" s="35" t="s">
        <v>241</v>
      </c>
      <c r="E111" s="36">
        <v>10.0</v>
      </c>
      <c r="F111" s="35" t="s">
        <v>94</v>
      </c>
      <c r="G111" s="35" t="s">
        <v>66</v>
      </c>
      <c r="H111" s="35" t="s">
        <v>352</v>
      </c>
      <c r="I111" s="52">
        <v>0.3567476851851852</v>
      </c>
      <c r="J111" s="36">
        <v>3.0</v>
      </c>
      <c r="K111" s="37">
        <v>10.0</v>
      </c>
      <c r="L111" s="35" t="s">
        <v>353</v>
      </c>
      <c r="M111" s="35" t="s">
        <v>336</v>
      </c>
    </row>
    <row r="112" ht="15.75" customHeight="1">
      <c r="A112" s="49">
        <v>46183.36960648148</v>
      </c>
      <c r="B112" s="40">
        <v>46183.0</v>
      </c>
      <c r="C112" s="35" t="s">
        <v>255</v>
      </c>
      <c r="D112" s="35" t="s">
        <v>256</v>
      </c>
      <c r="E112" s="36">
        <v>10.0</v>
      </c>
      <c r="F112" s="35" t="s">
        <v>94</v>
      </c>
      <c r="G112" s="35" t="s">
        <v>66</v>
      </c>
      <c r="H112" s="35" t="s">
        <v>357</v>
      </c>
      <c r="I112" s="52">
        <v>0.3696064814814815</v>
      </c>
      <c r="J112" s="36">
        <v>0.0</v>
      </c>
      <c r="K112" s="37">
        <v>0.0</v>
      </c>
      <c r="L112" s="35" t="s">
        <v>360</v>
      </c>
      <c r="M112" s="35" t="s">
        <v>336</v>
      </c>
    </row>
    <row r="113" ht="15.75" customHeight="1">
      <c r="A113" s="49">
        <v>46184.34600694444</v>
      </c>
      <c r="B113" s="40">
        <v>46184.0</v>
      </c>
      <c r="C113" s="35" t="s">
        <v>97</v>
      </c>
      <c r="D113" s="35" t="s">
        <v>98</v>
      </c>
      <c r="E113" s="36">
        <v>10.0</v>
      </c>
      <c r="F113" s="35" t="s">
        <v>94</v>
      </c>
      <c r="G113" s="35" t="s">
        <v>66</v>
      </c>
      <c r="H113" s="35" t="s">
        <v>352</v>
      </c>
      <c r="I113" s="52">
        <v>0.34600694444444446</v>
      </c>
      <c r="J113" s="36">
        <v>4.0</v>
      </c>
      <c r="K113" s="37">
        <v>10.0</v>
      </c>
      <c r="L113" s="35" t="s">
        <v>353</v>
      </c>
      <c r="M113" s="35" t="s">
        <v>336</v>
      </c>
    </row>
    <row r="114" ht="15.75" customHeight="1">
      <c r="A114" s="49">
        <v>46184.35107638889</v>
      </c>
      <c r="B114" s="40">
        <v>46184.0</v>
      </c>
      <c r="C114" s="35" t="s">
        <v>251</v>
      </c>
      <c r="D114" s="35" t="s">
        <v>252</v>
      </c>
      <c r="E114" s="36">
        <v>10.0</v>
      </c>
      <c r="F114" s="35" t="s">
        <v>94</v>
      </c>
      <c r="G114" s="35" t="s">
        <v>66</v>
      </c>
      <c r="H114" s="35" t="s">
        <v>352</v>
      </c>
      <c r="I114" s="52">
        <v>0.35107638888888887</v>
      </c>
      <c r="J114" s="36">
        <v>4.0</v>
      </c>
      <c r="K114" s="37">
        <v>10.0</v>
      </c>
      <c r="L114" s="35" t="s">
        <v>353</v>
      </c>
      <c r="M114" s="35" t="s">
        <v>336</v>
      </c>
    </row>
    <row r="115" ht="15.75" customHeight="1">
      <c r="A115" s="49">
        <v>46184.352268518516</v>
      </c>
      <c r="B115" s="40">
        <v>46184.0</v>
      </c>
      <c r="C115" s="35" t="s">
        <v>243</v>
      </c>
      <c r="D115" s="35" t="s">
        <v>244</v>
      </c>
      <c r="E115" s="36">
        <v>10.0</v>
      </c>
      <c r="F115" s="35" t="s">
        <v>94</v>
      </c>
      <c r="G115" s="35" t="s">
        <v>66</v>
      </c>
      <c r="H115" s="35" t="s">
        <v>352</v>
      </c>
      <c r="I115" s="52">
        <v>0.35226851851851854</v>
      </c>
      <c r="J115" s="36">
        <v>4.0</v>
      </c>
      <c r="K115" s="37">
        <v>10.0</v>
      </c>
      <c r="L115" s="35" t="s">
        <v>353</v>
      </c>
      <c r="M115" s="35" t="s">
        <v>336</v>
      </c>
    </row>
    <row r="116" ht="15.75" customHeight="1">
      <c r="A116" s="49">
        <v>46184.35376157407</v>
      </c>
      <c r="B116" s="40">
        <v>46184.0</v>
      </c>
      <c r="C116" s="35" t="s">
        <v>92</v>
      </c>
      <c r="D116" s="35" t="s">
        <v>93</v>
      </c>
      <c r="E116" s="36">
        <v>10.0</v>
      </c>
      <c r="F116" s="35" t="s">
        <v>94</v>
      </c>
      <c r="G116" s="35" t="s">
        <v>66</v>
      </c>
      <c r="H116" s="35" t="s">
        <v>352</v>
      </c>
      <c r="I116" s="52">
        <v>0.35376157407407405</v>
      </c>
      <c r="J116" s="36">
        <v>3.0</v>
      </c>
      <c r="K116" s="37">
        <v>10.0</v>
      </c>
      <c r="L116" s="35" t="s">
        <v>353</v>
      </c>
      <c r="M116" s="35" t="s">
        <v>336</v>
      </c>
    </row>
    <row r="117" ht="15.75" customHeight="1">
      <c r="A117" s="49">
        <v>46184.35424768519</v>
      </c>
      <c r="B117" s="40">
        <v>46184.0</v>
      </c>
      <c r="C117" s="35" t="s">
        <v>253</v>
      </c>
      <c r="D117" s="35" t="s">
        <v>254</v>
      </c>
      <c r="E117" s="36">
        <v>10.0</v>
      </c>
      <c r="F117" s="35" t="s">
        <v>94</v>
      </c>
      <c r="G117" s="35" t="s">
        <v>66</v>
      </c>
      <c r="H117" s="35" t="s">
        <v>352</v>
      </c>
      <c r="I117" s="52">
        <v>0.3542476851851852</v>
      </c>
      <c r="J117" s="36">
        <v>4.0</v>
      </c>
      <c r="K117" s="37">
        <v>10.0</v>
      </c>
      <c r="L117" s="35" t="s">
        <v>353</v>
      </c>
      <c r="M117" s="35" t="s">
        <v>336</v>
      </c>
    </row>
    <row r="118" ht="15.75" customHeight="1">
      <c r="A118" s="49">
        <v>46184.3559375</v>
      </c>
      <c r="B118" s="40">
        <v>46184.0</v>
      </c>
      <c r="C118" s="35" t="s">
        <v>249</v>
      </c>
      <c r="D118" s="35" t="s">
        <v>250</v>
      </c>
      <c r="E118" s="36">
        <v>10.0</v>
      </c>
      <c r="F118" s="35" t="s">
        <v>94</v>
      </c>
      <c r="G118" s="35" t="s">
        <v>66</v>
      </c>
      <c r="H118" s="35" t="s">
        <v>352</v>
      </c>
      <c r="I118" s="52">
        <v>0.3559375</v>
      </c>
      <c r="J118" s="36">
        <v>1.0</v>
      </c>
      <c r="K118" s="37">
        <v>10.0</v>
      </c>
      <c r="L118" s="35" t="s">
        <v>353</v>
      </c>
      <c r="M118" s="35" t="s">
        <v>336</v>
      </c>
    </row>
    <row r="119" ht="15.75" customHeight="1">
      <c r="A119" s="49">
        <v>46184.35658564815</v>
      </c>
      <c r="B119" s="40">
        <v>46184.0</v>
      </c>
      <c r="C119" s="35" t="s">
        <v>240</v>
      </c>
      <c r="D119" s="35" t="s">
        <v>241</v>
      </c>
      <c r="E119" s="36">
        <v>10.0</v>
      </c>
      <c r="F119" s="35" t="s">
        <v>94</v>
      </c>
      <c r="G119" s="35" t="s">
        <v>66</v>
      </c>
      <c r="H119" s="35" t="s">
        <v>352</v>
      </c>
      <c r="I119" s="52">
        <v>0.35658564814814814</v>
      </c>
      <c r="J119" s="36">
        <v>4.0</v>
      </c>
      <c r="K119" s="37">
        <v>10.0</v>
      </c>
      <c r="L119" s="35" t="s">
        <v>353</v>
      </c>
      <c r="M119" s="35" t="s">
        <v>336</v>
      </c>
    </row>
    <row r="120" ht="15.75" customHeight="1">
      <c r="A120" s="49">
        <v>46184.35737268518</v>
      </c>
      <c r="B120" s="40">
        <v>46184.0</v>
      </c>
      <c r="C120" s="35" t="s">
        <v>103</v>
      </c>
      <c r="D120" s="35" t="s">
        <v>104</v>
      </c>
      <c r="E120" s="36">
        <v>10.0</v>
      </c>
      <c r="F120" s="35" t="s">
        <v>94</v>
      </c>
      <c r="G120" s="35" t="s">
        <v>66</v>
      </c>
      <c r="H120" s="35" t="s">
        <v>352</v>
      </c>
      <c r="I120" s="52">
        <v>0.35737268518518517</v>
      </c>
      <c r="J120" s="36">
        <v>1.0</v>
      </c>
      <c r="K120" s="37">
        <v>10.0</v>
      </c>
      <c r="L120" s="35" t="s">
        <v>353</v>
      </c>
      <c r="M120" s="35" t="s">
        <v>336</v>
      </c>
    </row>
    <row r="121" ht="15.75" customHeight="1">
      <c r="A121" s="49">
        <v>46184.35766203704</v>
      </c>
      <c r="B121" s="40">
        <v>46184.0</v>
      </c>
      <c r="C121" s="35" t="s">
        <v>247</v>
      </c>
      <c r="D121" s="35" t="s">
        <v>248</v>
      </c>
      <c r="E121" s="36">
        <v>10.0</v>
      </c>
      <c r="F121" s="35" t="s">
        <v>94</v>
      </c>
      <c r="G121" s="35" t="s">
        <v>66</v>
      </c>
      <c r="H121" s="35" t="s">
        <v>352</v>
      </c>
      <c r="I121" s="52">
        <v>0.35766203703703703</v>
      </c>
      <c r="J121" s="36">
        <v>4.0</v>
      </c>
      <c r="K121" s="37">
        <v>10.0</v>
      </c>
      <c r="L121" s="35" t="s">
        <v>353</v>
      </c>
      <c r="M121" s="35" t="s">
        <v>336</v>
      </c>
    </row>
    <row r="122" ht="15.75" customHeight="1">
      <c r="A122" s="49">
        <v>46185.34615740741</v>
      </c>
      <c r="B122" s="40">
        <v>46185.0</v>
      </c>
      <c r="C122" s="35" t="s">
        <v>97</v>
      </c>
      <c r="D122" s="35" t="s">
        <v>98</v>
      </c>
      <c r="E122" s="36">
        <v>10.0</v>
      </c>
      <c r="F122" s="35" t="s">
        <v>94</v>
      </c>
      <c r="G122" s="35" t="s">
        <v>66</v>
      </c>
      <c r="H122" s="35" t="s">
        <v>352</v>
      </c>
      <c r="I122" s="52">
        <v>0.3461574074074074</v>
      </c>
      <c r="J122" s="36">
        <v>5.0</v>
      </c>
      <c r="K122" s="37">
        <v>10.0</v>
      </c>
      <c r="L122" s="35" t="s">
        <v>353</v>
      </c>
      <c r="M122" s="35" t="s">
        <v>336</v>
      </c>
    </row>
    <row r="123" ht="15.75" customHeight="1">
      <c r="A123" s="49">
        <v>46185.34636574074</v>
      </c>
      <c r="B123" s="40">
        <v>46185.0</v>
      </c>
      <c r="C123" s="35" t="s">
        <v>247</v>
      </c>
      <c r="D123" s="35" t="s">
        <v>248</v>
      </c>
      <c r="E123" s="36">
        <v>10.0</v>
      </c>
      <c r="F123" s="35" t="s">
        <v>94</v>
      </c>
      <c r="G123" s="35" t="s">
        <v>66</v>
      </c>
      <c r="H123" s="35" t="s">
        <v>352</v>
      </c>
      <c r="I123" s="52">
        <v>0.3463657407407407</v>
      </c>
      <c r="J123" s="36">
        <v>5.0</v>
      </c>
      <c r="K123" s="37">
        <v>10.0</v>
      </c>
      <c r="L123" s="35" t="s">
        <v>353</v>
      </c>
      <c r="M123" s="35" t="s">
        <v>336</v>
      </c>
    </row>
    <row r="124" ht="15.75" customHeight="1">
      <c r="A124" s="49">
        <v>46185.35119212963</v>
      </c>
      <c r="B124" s="40">
        <v>46185.0</v>
      </c>
      <c r="C124" s="35" t="s">
        <v>92</v>
      </c>
      <c r="D124" s="35" t="s">
        <v>93</v>
      </c>
      <c r="E124" s="36">
        <v>10.0</v>
      </c>
      <c r="F124" s="35" t="s">
        <v>94</v>
      </c>
      <c r="G124" s="35" t="s">
        <v>66</v>
      </c>
      <c r="H124" s="35" t="s">
        <v>352</v>
      </c>
      <c r="I124" s="52">
        <v>0.35119212962962965</v>
      </c>
      <c r="J124" s="36">
        <v>4.0</v>
      </c>
      <c r="K124" s="37">
        <v>10.0</v>
      </c>
      <c r="L124" s="35" t="s">
        <v>353</v>
      </c>
      <c r="M124" s="35" t="s">
        <v>336</v>
      </c>
    </row>
    <row r="125" ht="15.75" customHeight="1">
      <c r="A125" s="49">
        <v>46185.354409722226</v>
      </c>
      <c r="B125" s="40">
        <v>46185.0</v>
      </c>
      <c r="C125" s="35" t="s">
        <v>243</v>
      </c>
      <c r="D125" s="35" t="s">
        <v>244</v>
      </c>
      <c r="E125" s="36">
        <v>10.0</v>
      </c>
      <c r="F125" s="35" t="s">
        <v>94</v>
      </c>
      <c r="G125" s="35" t="s">
        <v>66</v>
      </c>
      <c r="H125" s="35" t="s">
        <v>352</v>
      </c>
      <c r="I125" s="52">
        <v>0.3544097222222222</v>
      </c>
      <c r="J125" s="36">
        <v>5.0</v>
      </c>
      <c r="K125" s="37">
        <v>10.0</v>
      </c>
      <c r="L125" s="35" t="s">
        <v>353</v>
      </c>
      <c r="M125" s="35" t="s">
        <v>336</v>
      </c>
    </row>
    <row r="126" ht="15.75" customHeight="1">
      <c r="A126" s="49">
        <v>46185.35490740741</v>
      </c>
      <c r="B126" s="40">
        <v>46185.0</v>
      </c>
      <c r="C126" s="35" t="s">
        <v>253</v>
      </c>
      <c r="D126" s="35" t="s">
        <v>254</v>
      </c>
      <c r="E126" s="36">
        <v>10.0</v>
      </c>
      <c r="F126" s="35" t="s">
        <v>94</v>
      </c>
      <c r="G126" s="35" t="s">
        <v>66</v>
      </c>
      <c r="H126" s="35" t="s">
        <v>352</v>
      </c>
      <c r="I126" s="52">
        <v>0.3549074074074074</v>
      </c>
      <c r="J126" s="36">
        <v>5.0</v>
      </c>
      <c r="K126" s="37">
        <v>10.0</v>
      </c>
      <c r="L126" s="35" t="s">
        <v>353</v>
      </c>
      <c r="M126" s="35" t="s">
        <v>336</v>
      </c>
    </row>
    <row r="127" ht="15.75" customHeight="1">
      <c r="A127" s="53"/>
      <c r="B127" s="44"/>
      <c r="C127" s="41"/>
      <c r="D127" s="41"/>
      <c r="E127" s="41"/>
      <c r="F127" s="41"/>
      <c r="G127" s="41"/>
      <c r="H127" s="41"/>
      <c r="I127" s="41"/>
      <c r="J127" s="41"/>
      <c r="K127" s="46"/>
      <c r="L127" s="41"/>
      <c r="M127" s="41"/>
    </row>
    <row r="128" ht="15.75" customHeight="1">
      <c r="A128" s="53"/>
      <c r="B128" s="44"/>
      <c r="C128" s="41"/>
      <c r="D128" s="41"/>
      <c r="E128" s="41"/>
      <c r="F128" s="41"/>
      <c r="G128" s="41"/>
      <c r="H128" s="41"/>
      <c r="I128" s="41"/>
      <c r="J128" s="41"/>
      <c r="K128" s="46"/>
      <c r="L128" s="41"/>
      <c r="M128" s="41"/>
    </row>
    <row r="129" ht="15.75" customHeight="1">
      <c r="A129" s="53"/>
      <c r="B129" s="44"/>
      <c r="C129" s="41"/>
      <c r="D129" s="41"/>
      <c r="E129" s="41"/>
      <c r="F129" s="41"/>
      <c r="G129" s="41"/>
      <c r="H129" s="41"/>
      <c r="I129" s="41"/>
      <c r="J129" s="41"/>
      <c r="K129" s="46"/>
      <c r="L129" s="41"/>
      <c r="M129" s="41"/>
    </row>
    <row r="130" ht="15.75" customHeight="1">
      <c r="A130" s="53"/>
      <c r="B130" s="44"/>
      <c r="C130" s="41"/>
      <c r="D130" s="41"/>
      <c r="E130" s="41"/>
      <c r="F130" s="41"/>
      <c r="G130" s="41"/>
      <c r="H130" s="41"/>
      <c r="I130" s="41"/>
      <c r="J130" s="41"/>
      <c r="K130" s="46"/>
      <c r="L130" s="41"/>
      <c r="M130" s="41"/>
    </row>
    <row r="131" ht="15.75" customHeight="1">
      <c r="A131" s="53"/>
      <c r="B131" s="44"/>
      <c r="C131" s="41"/>
      <c r="D131" s="41"/>
      <c r="E131" s="41"/>
      <c r="F131" s="41"/>
      <c r="G131" s="41"/>
      <c r="H131" s="41"/>
      <c r="I131" s="41"/>
      <c r="J131" s="41"/>
      <c r="K131" s="46"/>
      <c r="L131" s="41"/>
      <c r="M131" s="41"/>
    </row>
    <row r="132" ht="15.75" customHeight="1">
      <c r="A132" s="53"/>
      <c r="B132" s="44"/>
      <c r="C132" s="41"/>
      <c r="D132" s="41"/>
      <c r="E132" s="41"/>
      <c r="F132" s="41"/>
      <c r="G132" s="41"/>
      <c r="H132" s="41"/>
      <c r="I132" s="41"/>
      <c r="J132" s="41"/>
      <c r="K132" s="46"/>
      <c r="L132" s="41"/>
      <c r="M132" s="41"/>
    </row>
    <row r="133" ht="15.75" customHeight="1">
      <c r="A133" s="53"/>
      <c r="B133" s="44"/>
      <c r="C133" s="41"/>
      <c r="D133" s="41"/>
      <c r="E133" s="41"/>
      <c r="F133" s="41"/>
      <c r="G133" s="41"/>
      <c r="H133" s="41"/>
      <c r="I133" s="41"/>
      <c r="J133" s="41"/>
      <c r="K133" s="46"/>
      <c r="L133" s="41"/>
      <c r="M133" s="41"/>
    </row>
    <row r="134" ht="15.75" customHeight="1">
      <c r="A134" s="53"/>
      <c r="B134" s="44"/>
      <c r="C134" s="41"/>
      <c r="D134" s="41"/>
      <c r="E134" s="41"/>
      <c r="F134" s="41"/>
      <c r="G134" s="41"/>
      <c r="H134" s="41"/>
      <c r="I134" s="41"/>
      <c r="J134" s="41"/>
      <c r="K134" s="46"/>
      <c r="L134" s="41"/>
      <c r="M134" s="41"/>
    </row>
    <row r="135" ht="15.75" customHeight="1">
      <c r="A135" s="53"/>
      <c r="B135" s="44"/>
      <c r="C135" s="41"/>
      <c r="D135" s="41"/>
      <c r="E135" s="41"/>
      <c r="F135" s="41"/>
      <c r="G135" s="41"/>
      <c r="H135" s="41"/>
      <c r="I135" s="41"/>
      <c r="J135" s="41"/>
      <c r="K135" s="46"/>
      <c r="L135" s="41"/>
      <c r="M135" s="41"/>
    </row>
    <row r="136" ht="15.75" customHeight="1">
      <c r="A136" s="53"/>
      <c r="B136" s="44"/>
      <c r="C136" s="41"/>
      <c r="D136" s="41"/>
      <c r="E136" s="41"/>
      <c r="F136" s="41"/>
      <c r="G136" s="41"/>
      <c r="H136" s="41"/>
      <c r="I136" s="41"/>
      <c r="J136" s="41"/>
      <c r="K136" s="46"/>
      <c r="L136" s="41"/>
      <c r="M136" s="41"/>
    </row>
  </sheetData>
  <mergeCells count="1">
    <mergeCell ref="A1:M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24.0"/>
    <col customWidth="1" min="4" max="4" width="10.0"/>
    <col customWidth="1" min="5" max="5" width="14.0"/>
    <col customWidth="1" min="6" max="6" width="16.0"/>
    <col customWidth="1" min="7" max="7" width="12.0"/>
    <col customWidth="1" min="8" max="8" width="14.0"/>
    <col customWidth="1" min="9" max="9" width="10.0"/>
    <col customWidth="1" min="10" max="10" width="16.0"/>
    <col customWidth="1" min="11" max="11" width="44.88"/>
  </cols>
  <sheetData>
    <row r="1" ht="30.0" customHeight="1">
      <c r="A1" s="1" t="s">
        <v>365</v>
      </c>
    </row>
    <row r="2">
      <c r="A2" s="10"/>
      <c r="H2" s="54"/>
      <c r="J2" s="55"/>
    </row>
    <row r="3">
      <c r="A3" s="56"/>
      <c r="B3" s="57"/>
      <c r="C3" s="57"/>
      <c r="D3" s="57"/>
      <c r="E3" s="57"/>
      <c r="F3" s="57"/>
      <c r="G3" s="57"/>
      <c r="H3" s="58"/>
      <c r="I3" s="57"/>
      <c r="J3" s="59"/>
      <c r="K3" s="57"/>
    </row>
    <row r="4" ht="15.75" customHeight="1">
      <c r="A4" s="40">
        <v>46168.0</v>
      </c>
      <c r="B4" s="35" t="s">
        <v>247</v>
      </c>
      <c r="C4" s="35" t="s">
        <v>337</v>
      </c>
      <c r="D4" s="36">
        <v>10.0</v>
      </c>
      <c r="E4" s="35" t="s">
        <v>94</v>
      </c>
      <c r="F4" s="35" t="s">
        <v>66</v>
      </c>
      <c r="G4" s="35" t="s">
        <v>352</v>
      </c>
      <c r="H4" s="52">
        <v>0.35162037037037036</v>
      </c>
      <c r="I4" s="36">
        <v>1.0</v>
      </c>
      <c r="J4" s="37">
        <v>10.0</v>
      </c>
      <c r="K4" s="35" t="s">
        <v>353</v>
      </c>
    </row>
    <row r="5" ht="15.75" customHeight="1">
      <c r="A5" s="40">
        <v>46168.0</v>
      </c>
      <c r="B5" s="35" t="s">
        <v>92</v>
      </c>
      <c r="C5" s="35" t="s">
        <v>93</v>
      </c>
      <c r="D5" s="36">
        <v>10.0</v>
      </c>
      <c r="E5" s="35" t="s">
        <v>94</v>
      </c>
      <c r="F5" s="35" t="s">
        <v>66</v>
      </c>
      <c r="G5" s="35" t="s">
        <v>352</v>
      </c>
      <c r="H5" s="52">
        <v>0.35445601851851855</v>
      </c>
      <c r="I5" s="36">
        <v>1.0</v>
      </c>
      <c r="J5" s="37">
        <v>10.0</v>
      </c>
      <c r="K5" s="35" t="s">
        <v>353</v>
      </c>
    </row>
    <row r="6" ht="15.75" customHeight="1">
      <c r="A6" s="40">
        <v>46168.0</v>
      </c>
      <c r="B6" s="35" t="s">
        <v>103</v>
      </c>
      <c r="C6" s="35" t="s">
        <v>104</v>
      </c>
      <c r="D6" s="36">
        <v>10.0</v>
      </c>
      <c r="E6" s="35" t="s">
        <v>94</v>
      </c>
      <c r="F6" s="35" t="s">
        <v>66</v>
      </c>
      <c r="G6" s="35" t="s">
        <v>352</v>
      </c>
      <c r="H6" s="52">
        <v>0.3559027777777778</v>
      </c>
      <c r="I6" s="36">
        <v>1.0</v>
      </c>
      <c r="J6" s="37">
        <v>10.0</v>
      </c>
      <c r="K6" s="35" t="s">
        <v>353</v>
      </c>
    </row>
    <row r="7" ht="15.75" customHeight="1">
      <c r="A7" s="40">
        <v>46168.0</v>
      </c>
      <c r="B7" s="35" t="s">
        <v>255</v>
      </c>
      <c r="C7" s="35" t="s">
        <v>256</v>
      </c>
      <c r="D7" s="36">
        <v>10.0</v>
      </c>
      <c r="E7" s="35" t="s">
        <v>94</v>
      </c>
      <c r="F7" s="35" t="s">
        <v>66</v>
      </c>
      <c r="G7" s="35" t="s">
        <v>352</v>
      </c>
      <c r="H7" s="52">
        <v>0.35626157407407405</v>
      </c>
      <c r="I7" s="36">
        <v>1.0</v>
      </c>
      <c r="J7" s="37">
        <v>10.0</v>
      </c>
      <c r="K7" s="35" t="s">
        <v>353</v>
      </c>
    </row>
    <row r="8" ht="15.75" customHeight="1">
      <c r="A8" s="40">
        <v>46168.0</v>
      </c>
      <c r="B8" s="35" t="s">
        <v>240</v>
      </c>
      <c r="C8" s="35" t="s">
        <v>241</v>
      </c>
      <c r="D8" s="36">
        <v>10.0</v>
      </c>
      <c r="E8" s="35" t="s">
        <v>94</v>
      </c>
      <c r="F8" s="35" t="s">
        <v>66</v>
      </c>
      <c r="G8" s="35" t="s">
        <v>357</v>
      </c>
      <c r="H8" s="52">
        <v>0.3586574074074074</v>
      </c>
      <c r="I8" s="36">
        <v>0.0</v>
      </c>
      <c r="J8" s="37">
        <v>0.0</v>
      </c>
      <c r="K8" s="35" t="s">
        <v>360</v>
      </c>
    </row>
    <row r="9" ht="15.75" customHeight="1">
      <c r="A9" s="40">
        <v>46168.0</v>
      </c>
      <c r="B9" s="35" t="s">
        <v>251</v>
      </c>
      <c r="C9" s="35" t="s">
        <v>252</v>
      </c>
      <c r="D9" s="36">
        <v>10.0</v>
      </c>
      <c r="E9" s="35" t="s">
        <v>94</v>
      </c>
      <c r="F9" s="35" t="s">
        <v>66</v>
      </c>
      <c r="G9" s="35" t="s">
        <v>357</v>
      </c>
      <c r="H9" s="52">
        <v>0.49429398148148146</v>
      </c>
      <c r="I9" s="36">
        <v>0.0</v>
      </c>
      <c r="J9" s="37">
        <v>0.0</v>
      </c>
      <c r="K9" s="35" t="s">
        <v>359</v>
      </c>
    </row>
    <row r="10" ht="15.75" customHeight="1">
      <c r="A10" s="40">
        <v>46168.0</v>
      </c>
      <c r="B10" s="35" t="s">
        <v>245</v>
      </c>
      <c r="C10" s="35" t="s">
        <v>246</v>
      </c>
      <c r="D10" s="36">
        <v>10.0</v>
      </c>
      <c r="E10" s="35" t="s">
        <v>94</v>
      </c>
      <c r="F10" s="35" t="s">
        <v>66</v>
      </c>
      <c r="G10" s="35" t="s">
        <v>357</v>
      </c>
      <c r="H10" s="52">
        <v>0.6500231481481481</v>
      </c>
      <c r="I10" s="36">
        <v>0.0</v>
      </c>
      <c r="J10" s="37">
        <v>0.0</v>
      </c>
      <c r="K10" s="35" t="s">
        <v>359</v>
      </c>
    </row>
    <row r="11" ht="15.75" customHeight="1">
      <c r="A11" s="40">
        <v>46170.0</v>
      </c>
      <c r="B11" s="35" t="s">
        <v>251</v>
      </c>
      <c r="C11" s="35" t="s">
        <v>252</v>
      </c>
      <c r="D11" s="36">
        <v>10.0</v>
      </c>
      <c r="E11" s="35" t="s">
        <v>94</v>
      </c>
      <c r="F11" s="35" t="s">
        <v>66</v>
      </c>
      <c r="G11" s="35" t="s">
        <v>352</v>
      </c>
      <c r="H11" s="52">
        <v>0.34717592592592594</v>
      </c>
      <c r="I11" s="36">
        <v>1.0</v>
      </c>
      <c r="J11" s="37">
        <v>10.0</v>
      </c>
      <c r="K11" s="35" t="s">
        <v>353</v>
      </c>
    </row>
    <row r="12" ht="15.75" customHeight="1">
      <c r="A12" s="40">
        <v>46170.0</v>
      </c>
      <c r="B12" s="35" t="s">
        <v>97</v>
      </c>
      <c r="C12" s="35" t="s">
        <v>98</v>
      </c>
      <c r="D12" s="36">
        <v>10.0</v>
      </c>
      <c r="E12" s="35" t="s">
        <v>94</v>
      </c>
      <c r="F12" s="35" t="s">
        <v>66</v>
      </c>
      <c r="G12" s="35" t="s">
        <v>352</v>
      </c>
      <c r="H12" s="52">
        <v>0.35011574074074076</v>
      </c>
      <c r="I12" s="36">
        <v>1.0</v>
      </c>
      <c r="J12" s="37">
        <v>10.0</v>
      </c>
      <c r="K12" s="35" t="s">
        <v>353</v>
      </c>
    </row>
    <row r="13" ht="15.75" customHeight="1">
      <c r="A13" s="40">
        <v>46170.0</v>
      </c>
      <c r="B13" s="35" t="s">
        <v>247</v>
      </c>
      <c r="C13" s="35" t="s">
        <v>337</v>
      </c>
      <c r="D13" s="36">
        <v>10.0</v>
      </c>
      <c r="E13" s="35" t="s">
        <v>94</v>
      </c>
      <c r="F13" s="35" t="s">
        <v>66</v>
      </c>
      <c r="G13" s="35" t="s">
        <v>352</v>
      </c>
      <c r="H13" s="52">
        <v>0.35193287037037035</v>
      </c>
      <c r="I13" s="36">
        <v>1.0</v>
      </c>
      <c r="J13" s="37">
        <v>10.0</v>
      </c>
      <c r="K13" s="35" t="s">
        <v>353</v>
      </c>
    </row>
    <row r="14" ht="15.75" customHeight="1">
      <c r="A14" s="40">
        <v>46170.0</v>
      </c>
      <c r="B14" s="35" t="s">
        <v>92</v>
      </c>
      <c r="C14" s="35" t="s">
        <v>93</v>
      </c>
      <c r="D14" s="36">
        <v>10.0</v>
      </c>
      <c r="E14" s="35" t="s">
        <v>94</v>
      </c>
      <c r="F14" s="35" t="s">
        <v>66</v>
      </c>
      <c r="G14" s="35" t="s">
        <v>352</v>
      </c>
      <c r="H14" s="52">
        <v>0.35211805555555553</v>
      </c>
      <c r="I14" s="36">
        <v>1.0</v>
      </c>
      <c r="J14" s="37">
        <v>10.0</v>
      </c>
      <c r="K14" s="35" t="s">
        <v>353</v>
      </c>
    </row>
    <row r="15" ht="15.75" customHeight="1">
      <c r="A15" s="40">
        <v>46170.0</v>
      </c>
      <c r="B15" s="35" t="s">
        <v>243</v>
      </c>
      <c r="C15" s="35" t="s">
        <v>244</v>
      </c>
      <c r="D15" s="36">
        <v>10.0</v>
      </c>
      <c r="E15" s="35" t="s">
        <v>94</v>
      </c>
      <c r="F15" s="35" t="s">
        <v>66</v>
      </c>
      <c r="G15" s="35" t="s">
        <v>352</v>
      </c>
      <c r="H15" s="52">
        <v>0.35226851851851854</v>
      </c>
      <c r="I15" s="36">
        <v>1.0</v>
      </c>
      <c r="J15" s="37">
        <v>10.0</v>
      </c>
      <c r="K15" s="35" t="s">
        <v>353</v>
      </c>
    </row>
    <row r="16" ht="15.75" customHeight="1">
      <c r="A16" s="40">
        <v>46170.0</v>
      </c>
      <c r="B16" s="35" t="s">
        <v>249</v>
      </c>
      <c r="C16" s="35" t="s">
        <v>250</v>
      </c>
      <c r="D16" s="36">
        <v>10.0</v>
      </c>
      <c r="E16" s="35" t="s">
        <v>94</v>
      </c>
      <c r="F16" s="35" t="s">
        <v>66</v>
      </c>
      <c r="G16" s="35" t="s">
        <v>352</v>
      </c>
      <c r="H16" s="52">
        <v>0.35403935185185187</v>
      </c>
      <c r="I16" s="36">
        <v>1.0</v>
      </c>
      <c r="J16" s="37">
        <v>10.0</v>
      </c>
      <c r="K16" s="35" t="s">
        <v>353</v>
      </c>
    </row>
    <row r="17" ht="15.75" customHeight="1">
      <c r="A17" s="40">
        <v>46170.0</v>
      </c>
      <c r="B17" s="35" t="s">
        <v>240</v>
      </c>
      <c r="C17" s="35" t="s">
        <v>241</v>
      </c>
      <c r="D17" s="36">
        <v>10.0</v>
      </c>
      <c r="E17" s="35" t="s">
        <v>94</v>
      </c>
      <c r="F17" s="35" t="s">
        <v>66</v>
      </c>
      <c r="G17" s="35" t="s">
        <v>352</v>
      </c>
      <c r="H17" s="52">
        <v>0.35628472222222224</v>
      </c>
      <c r="I17" s="36">
        <v>1.0</v>
      </c>
      <c r="J17" s="37">
        <v>10.0</v>
      </c>
      <c r="K17" s="35" t="s">
        <v>353</v>
      </c>
    </row>
    <row r="18" ht="15.75" customHeight="1">
      <c r="A18" s="40">
        <v>46170.0</v>
      </c>
      <c r="B18" s="35" t="s">
        <v>255</v>
      </c>
      <c r="C18" s="35" t="s">
        <v>256</v>
      </c>
      <c r="D18" s="36">
        <v>10.0</v>
      </c>
      <c r="E18" s="35" t="s">
        <v>94</v>
      </c>
      <c r="F18" s="35" t="s">
        <v>66</v>
      </c>
      <c r="G18" s="35" t="s">
        <v>352</v>
      </c>
      <c r="H18" s="52">
        <v>0.3579513888888889</v>
      </c>
      <c r="I18" s="36">
        <v>1.0</v>
      </c>
      <c r="J18" s="37">
        <v>10.0</v>
      </c>
      <c r="K18" s="35" t="s">
        <v>353</v>
      </c>
    </row>
    <row r="19" ht="15.75" customHeight="1">
      <c r="A19" s="40">
        <v>46170.0</v>
      </c>
      <c r="B19" s="35" t="s">
        <v>253</v>
      </c>
      <c r="C19" s="35" t="s">
        <v>254</v>
      </c>
      <c r="D19" s="36">
        <v>10.0</v>
      </c>
      <c r="E19" s="35" t="s">
        <v>94</v>
      </c>
      <c r="F19" s="35" t="s">
        <v>66</v>
      </c>
      <c r="G19" s="35" t="s">
        <v>357</v>
      </c>
      <c r="H19" s="52">
        <v>0.3725</v>
      </c>
      <c r="I19" s="36">
        <v>0.0</v>
      </c>
      <c r="J19" s="37">
        <v>0.0</v>
      </c>
      <c r="K19" s="35" t="s">
        <v>360</v>
      </c>
    </row>
    <row r="20" ht="15.75" customHeight="1">
      <c r="A20" s="40">
        <v>46170.0</v>
      </c>
      <c r="B20" s="35" t="s">
        <v>245</v>
      </c>
      <c r="C20" s="35" t="s">
        <v>246</v>
      </c>
      <c r="D20" s="36">
        <v>10.0</v>
      </c>
      <c r="E20" s="35" t="s">
        <v>94</v>
      </c>
      <c r="F20" s="35" t="s">
        <v>66</v>
      </c>
      <c r="G20" s="35" t="s">
        <v>357</v>
      </c>
      <c r="H20" s="52">
        <v>0.37265046296296295</v>
      </c>
      <c r="I20" s="36">
        <v>0.0</v>
      </c>
      <c r="J20" s="37">
        <v>0.0</v>
      </c>
      <c r="K20" s="35" t="s">
        <v>359</v>
      </c>
    </row>
    <row r="21" ht="15.75" customHeight="1">
      <c r="A21" s="40">
        <v>46174.0</v>
      </c>
      <c r="B21" s="35" t="s">
        <v>251</v>
      </c>
      <c r="C21" s="35" t="s">
        <v>252</v>
      </c>
      <c r="D21" s="36">
        <v>10.0</v>
      </c>
      <c r="E21" s="35" t="s">
        <v>94</v>
      </c>
      <c r="F21" s="35" t="s">
        <v>66</v>
      </c>
      <c r="G21" s="35" t="s">
        <v>352</v>
      </c>
      <c r="H21" s="52">
        <v>0.34792824074074075</v>
      </c>
      <c r="I21" s="36">
        <v>1.0</v>
      </c>
      <c r="J21" s="37">
        <v>10.0</v>
      </c>
      <c r="K21" s="35" t="s">
        <v>353</v>
      </c>
    </row>
    <row r="22" ht="15.75" customHeight="1">
      <c r="A22" s="40">
        <v>46174.0</v>
      </c>
      <c r="B22" s="35" t="s">
        <v>97</v>
      </c>
      <c r="C22" s="35" t="s">
        <v>98</v>
      </c>
      <c r="D22" s="36">
        <v>10.0</v>
      </c>
      <c r="E22" s="35" t="s">
        <v>94</v>
      </c>
      <c r="F22" s="35" t="s">
        <v>66</v>
      </c>
      <c r="G22" s="35" t="s">
        <v>352</v>
      </c>
      <c r="H22" s="52">
        <v>0.34815972222222225</v>
      </c>
      <c r="I22" s="36">
        <v>1.0</v>
      </c>
      <c r="J22" s="37">
        <v>10.0</v>
      </c>
      <c r="K22" s="35" t="s">
        <v>353</v>
      </c>
    </row>
    <row r="23" ht="15.75" customHeight="1">
      <c r="A23" s="40">
        <v>46174.0</v>
      </c>
      <c r="B23" s="35" t="s">
        <v>243</v>
      </c>
      <c r="C23" s="35" t="s">
        <v>244</v>
      </c>
      <c r="D23" s="36">
        <v>10.0</v>
      </c>
      <c r="E23" s="35" t="s">
        <v>94</v>
      </c>
      <c r="F23" s="35" t="s">
        <v>66</v>
      </c>
      <c r="G23" s="35" t="s">
        <v>352</v>
      </c>
      <c r="H23" s="52">
        <v>0.3483101851851852</v>
      </c>
      <c r="I23" s="36">
        <v>1.0</v>
      </c>
      <c r="J23" s="37">
        <v>10.0</v>
      </c>
      <c r="K23" s="35" t="s">
        <v>353</v>
      </c>
    </row>
    <row r="24" ht="15.75" customHeight="1">
      <c r="A24" s="40">
        <v>46174.0</v>
      </c>
      <c r="B24" s="35" t="s">
        <v>247</v>
      </c>
      <c r="C24" s="35" t="s">
        <v>337</v>
      </c>
      <c r="D24" s="36">
        <v>10.0</v>
      </c>
      <c r="E24" s="35" t="s">
        <v>94</v>
      </c>
      <c r="F24" s="35" t="s">
        <v>66</v>
      </c>
      <c r="G24" s="35" t="s">
        <v>352</v>
      </c>
      <c r="H24" s="52">
        <v>0.3491435185185185</v>
      </c>
      <c r="I24" s="36">
        <v>1.0</v>
      </c>
      <c r="J24" s="37">
        <v>10.0</v>
      </c>
      <c r="K24" s="35" t="s">
        <v>353</v>
      </c>
    </row>
    <row r="25" ht="15.75" customHeight="1">
      <c r="A25" s="40">
        <v>46174.0</v>
      </c>
      <c r="B25" s="35" t="s">
        <v>249</v>
      </c>
      <c r="C25" s="35" t="s">
        <v>250</v>
      </c>
      <c r="D25" s="36">
        <v>10.0</v>
      </c>
      <c r="E25" s="35" t="s">
        <v>94</v>
      </c>
      <c r="F25" s="35" t="s">
        <v>66</v>
      </c>
      <c r="G25" s="35" t="s">
        <v>352</v>
      </c>
      <c r="H25" s="52">
        <v>0.353125</v>
      </c>
      <c r="I25" s="36">
        <v>1.0</v>
      </c>
      <c r="J25" s="37">
        <v>10.0</v>
      </c>
      <c r="K25" s="35" t="s">
        <v>353</v>
      </c>
    </row>
    <row r="26" ht="15.75" customHeight="1">
      <c r="A26" s="40">
        <v>46174.0</v>
      </c>
      <c r="B26" s="35" t="s">
        <v>240</v>
      </c>
      <c r="C26" s="35" t="s">
        <v>241</v>
      </c>
      <c r="D26" s="36">
        <v>10.0</v>
      </c>
      <c r="E26" s="35" t="s">
        <v>94</v>
      </c>
      <c r="F26" s="35" t="s">
        <v>66</v>
      </c>
      <c r="G26" s="35" t="s">
        <v>352</v>
      </c>
      <c r="H26" s="52">
        <v>0.3541898148148148</v>
      </c>
      <c r="I26" s="36">
        <v>1.0</v>
      </c>
      <c r="J26" s="37">
        <v>10.0</v>
      </c>
      <c r="K26" s="35" t="s">
        <v>353</v>
      </c>
    </row>
    <row r="27" ht="15.75" customHeight="1">
      <c r="A27" s="40">
        <v>46174.0</v>
      </c>
      <c r="B27" s="35" t="s">
        <v>92</v>
      </c>
      <c r="C27" s="35" t="s">
        <v>93</v>
      </c>
      <c r="D27" s="36">
        <v>10.0</v>
      </c>
      <c r="E27" s="35" t="s">
        <v>94</v>
      </c>
      <c r="F27" s="35" t="s">
        <v>66</v>
      </c>
      <c r="G27" s="35" t="s">
        <v>352</v>
      </c>
      <c r="H27" s="52">
        <v>0.3552314814814815</v>
      </c>
      <c r="I27" s="36">
        <v>1.0</v>
      </c>
      <c r="J27" s="37">
        <v>10.0</v>
      </c>
      <c r="K27" s="35" t="s">
        <v>353</v>
      </c>
    </row>
    <row r="28" ht="15.75" customHeight="1">
      <c r="A28" s="40">
        <v>46174.0</v>
      </c>
      <c r="B28" s="35" t="s">
        <v>103</v>
      </c>
      <c r="C28" s="35" t="s">
        <v>104</v>
      </c>
      <c r="D28" s="36">
        <v>10.0</v>
      </c>
      <c r="E28" s="35" t="s">
        <v>94</v>
      </c>
      <c r="F28" s="35" t="s">
        <v>66</v>
      </c>
      <c r="G28" s="35" t="s">
        <v>357</v>
      </c>
      <c r="H28" s="52">
        <v>0.3656597222222222</v>
      </c>
      <c r="I28" s="36">
        <v>0.0</v>
      </c>
      <c r="J28" s="37">
        <v>0.0</v>
      </c>
      <c r="K28" s="35" t="s">
        <v>360</v>
      </c>
    </row>
    <row r="29" ht="15.75" customHeight="1">
      <c r="A29" s="40">
        <v>46174.0</v>
      </c>
      <c r="B29" s="35" t="s">
        <v>255</v>
      </c>
      <c r="C29" s="35" t="s">
        <v>256</v>
      </c>
      <c r="D29" s="36">
        <v>10.0</v>
      </c>
      <c r="E29" s="35" t="s">
        <v>94</v>
      </c>
      <c r="F29" s="35" t="s">
        <v>66</v>
      </c>
      <c r="G29" s="35" t="s">
        <v>357</v>
      </c>
      <c r="H29" s="52">
        <v>0.36768518518518517</v>
      </c>
      <c r="I29" s="36">
        <v>0.0</v>
      </c>
      <c r="J29" s="37">
        <v>0.0</v>
      </c>
      <c r="K29" s="35" t="s">
        <v>360</v>
      </c>
    </row>
    <row r="30" ht="15.75" customHeight="1">
      <c r="A30" s="40">
        <v>46174.0</v>
      </c>
      <c r="B30" s="35" t="s">
        <v>245</v>
      </c>
      <c r="C30" s="35" t="s">
        <v>246</v>
      </c>
      <c r="D30" s="36">
        <v>10.0</v>
      </c>
      <c r="E30" s="35" t="s">
        <v>94</v>
      </c>
      <c r="F30" s="35" t="s">
        <v>66</v>
      </c>
      <c r="G30" s="35" t="s">
        <v>357</v>
      </c>
      <c r="H30" s="52">
        <v>0.3691087962962963</v>
      </c>
      <c r="I30" s="36">
        <v>0.0</v>
      </c>
      <c r="J30" s="37">
        <v>0.0</v>
      </c>
      <c r="K30" s="35" t="s">
        <v>359</v>
      </c>
    </row>
    <row r="31" ht="15.75" customHeight="1">
      <c r="A31" s="40">
        <v>46174.0</v>
      </c>
      <c r="B31" s="35" t="s">
        <v>253</v>
      </c>
      <c r="C31" s="35" t="s">
        <v>254</v>
      </c>
      <c r="D31" s="36">
        <v>10.0</v>
      </c>
      <c r="E31" s="35" t="s">
        <v>94</v>
      </c>
      <c r="F31" s="35" t="s">
        <v>66</v>
      </c>
      <c r="G31" s="35" t="s">
        <v>357</v>
      </c>
      <c r="H31" s="52">
        <v>0.37559027777777776</v>
      </c>
      <c r="I31" s="36">
        <v>0.0</v>
      </c>
      <c r="J31" s="37">
        <v>0.0</v>
      </c>
      <c r="K31" s="35" t="s">
        <v>360</v>
      </c>
    </row>
    <row r="32" ht="15.75" customHeight="1">
      <c r="A32" s="40">
        <v>46175.0</v>
      </c>
      <c r="B32" s="35" t="s">
        <v>97</v>
      </c>
      <c r="C32" s="35" t="s">
        <v>98</v>
      </c>
      <c r="D32" s="36">
        <v>10.0</v>
      </c>
      <c r="E32" s="35" t="s">
        <v>94</v>
      </c>
      <c r="F32" s="35" t="s">
        <v>66</v>
      </c>
      <c r="G32" s="35" t="s">
        <v>352</v>
      </c>
      <c r="H32" s="52">
        <v>0.3478703703703704</v>
      </c>
      <c r="I32" s="36">
        <v>2.0</v>
      </c>
      <c r="J32" s="37">
        <v>10.0</v>
      </c>
      <c r="K32" s="35" t="s">
        <v>353</v>
      </c>
    </row>
    <row r="33" ht="15.75" customHeight="1">
      <c r="A33" s="40">
        <v>46175.0</v>
      </c>
      <c r="B33" s="35" t="s">
        <v>251</v>
      </c>
      <c r="C33" s="35" t="s">
        <v>252</v>
      </c>
      <c r="D33" s="36">
        <v>10.0</v>
      </c>
      <c r="E33" s="35" t="s">
        <v>94</v>
      </c>
      <c r="F33" s="35" t="s">
        <v>66</v>
      </c>
      <c r="G33" s="35" t="s">
        <v>352</v>
      </c>
      <c r="H33" s="52">
        <v>0.34984953703703703</v>
      </c>
      <c r="I33" s="36">
        <v>2.0</v>
      </c>
      <c r="J33" s="37">
        <v>10.0</v>
      </c>
      <c r="K33" s="35" t="s">
        <v>353</v>
      </c>
    </row>
    <row r="34" ht="15.75" customHeight="1">
      <c r="A34" s="40">
        <v>46175.0</v>
      </c>
      <c r="B34" s="35" t="s">
        <v>243</v>
      </c>
      <c r="C34" s="35" t="s">
        <v>244</v>
      </c>
      <c r="D34" s="36">
        <v>10.0</v>
      </c>
      <c r="E34" s="35" t="s">
        <v>94</v>
      </c>
      <c r="F34" s="35" t="s">
        <v>66</v>
      </c>
      <c r="G34" s="35" t="s">
        <v>352</v>
      </c>
      <c r="H34" s="52">
        <v>0.3503472222222222</v>
      </c>
      <c r="I34" s="36">
        <v>2.0</v>
      </c>
      <c r="J34" s="37">
        <v>10.0</v>
      </c>
      <c r="K34" s="35" t="s">
        <v>353</v>
      </c>
    </row>
    <row r="35" ht="15.75" customHeight="1">
      <c r="A35" s="40">
        <v>46175.0</v>
      </c>
      <c r="B35" s="35" t="s">
        <v>247</v>
      </c>
      <c r="C35" s="35" t="s">
        <v>337</v>
      </c>
      <c r="D35" s="36">
        <v>10.0</v>
      </c>
      <c r="E35" s="35" t="s">
        <v>94</v>
      </c>
      <c r="F35" s="35" t="s">
        <v>66</v>
      </c>
      <c r="G35" s="35" t="s">
        <v>352</v>
      </c>
      <c r="H35" s="52">
        <v>0.35125</v>
      </c>
      <c r="I35" s="36">
        <v>2.0</v>
      </c>
      <c r="J35" s="37">
        <v>10.0</v>
      </c>
      <c r="K35" s="35" t="s">
        <v>353</v>
      </c>
    </row>
    <row r="36" ht="15.75" customHeight="1">
      <c r="A36" s="40">
        <v>46175.0</v>
      </c>
      <c r="B36" s="35" t="s">
        <v>249</v>
      </c>
      <c r="C36" s="35" t="s">
        <v>250</v>
      </c>
      <c r="D36" s="36">
        <v>10.0</v>
      </c>
      <c r="E36" s="35" t="s">
        <v>94</v>
      </c>
      <c r="F36" s="35" t="s">
        <v>66</v>
      </c>
      <c r="G36" s="35" t="s">
        <v>352</v>
      </c>
      <c r="H36" s="52">
        <v>0.35247685185185185</v>
      </c>
      <c r="I36" s="36">
        <v>2.0</v>
      </c>
      <c r="J36" s="37">
        <v>10.0</v>
      </c>
      <c r="K36" s="35" t="s">
        <v>353</v>
      </c>
    </row>
    <row r="37" ht="15.75" customHeight="1">
      <c r="A37" s="40">
        <v>46175.0</v>
      </c>
      <c r="B37" s="35" t="s">
        <v>255</v>
      </c>
      <c r="C37" s="35" t="s">
        <v>256</v>
      </c>
      <c r="D37" s="36">
        <v>10.0</v>
      </c>
      <c r="E37" s="35" t="s">
        <v>94</v>
      </c>
      <c r="F37" s="35" t="s">
        <v>66</v>
      </c>
      <c r="G37" s="35" t="s">
        <v>352</v>
      </c>
      <c r="H37" s="52">
        <v>0.3557986111111111</v>
      </c>
      <c r="I37" s="36">
        <v>1.0</v>
      </c>
      <c r="J37" s="37">
        <v>10.0</v>
      </c>
      <c r="K37" s="35" t="s">
        <v>353</v>
      </c>
    </row>
    <row r="38" ht="15.75" customHeight="1">
      <c r="A38" s="40">
        <v>46175.0</v>
      </c>
      <c r="B38" s="35" t="s">
        <v>253</v>
      </c>
      <c r="C38" s="35" t="s">
        <v>254</v>
      </c>
      <c r="D38" s="36">
        <v>10.0</v>
      </c>
      <c r="E38" s="35" t="s">
        <v>94</v>
      </c>
      <c r="F38" s="35" t="s">
        <v>66</v>
      </c>
      <c r="G38" s="35" t="s">
        <v>352</v>
      </c>
      <c r="H38" s="52">
        <v>0.35594907407407406</v>
      </c>
      <c r="I38" s="36">
        <v>1.0</v>
      </c>
      <c r="J38" s="37">
        <v>10.0</v>
      </c>
      <c r="K38" s="35" t="s">
        <v>353</v>
      </c>
    </row>
    <row r="39" ht="15.75" customHeight="1">
      <c r="A39" s="40">
        <v>46175.0</v>
      </c>
      <c r="B39" s="35" t="s">
        <v>240</v>
      </c>
      <c r="C39" s="35" t="s">
        <v>241</v>
      </c>
      <c r="D39" s="36">
        <v>10.0</v>
      </c>
      <c r="E39" s="35" t="s">
        <v>94</v>
      </c>
      <c r="F39" s="35" t="s">
        <v>66</v>
      </c>
      <c r="G39" s="35" t="s">
        <v>352</v>
      </c>
      <c r="H39" s="52">
        <v>0.35625</v>
      </c>
      <c r="I39" s="36">
        <v>2.0</v>
      </c>
      <c r="J39" s="37">
        <v>10.0</v>
      </c>
      <c r="K39" s="35" t="s">
        <v>353</v>
      </c>
    </row>
    <row r="40" ht="15.75" customHeight="1">
      <c r="A40" s="40">
        <v>46175.0</v>
      </c>
      <c r="B40" s="35" t="s">
        <v>103</v>
      </c>
      <c r="C40" s="35" t="s">
        <v>104</v>
      </c>
      <c r="D40" s="36">
        <v>10.0</v>
      </c>
      <c r="E40" s="35" t="s">
        <v>94</v>
      </c>
      <c r="F40" s="35" t="s">
        <v>66</v>
      </c>
      <c r="G40" s="35" t="s">
        <v>352</v>
      </c>
      <c r="H40" s="52">
        <v>0.3575462962962963</v>
      </c>
      <c r="I40" s="36">
        <v>1.0</v>
      </c>
      <c r="J40" s="37">
        <v>10.0</v>
      </c>
      <c r="K40" s="35" t="s">
        <v>353</v>
      </c>
    </row>
    <row r="41" ht="15.75" customHeight="1">
      <c r="A41" s="40">
        <v>46175.0</v>
      </c>
      <c r="B41" s="35" t="s">
        <v>92</v>
      </c>
      <c r="C41" s="35" t="s">
        <v>93</v>
      </c>
      <c r="D41" s="36">
        <v>10.0</v>
      </c>
      <c r="E41" s="35" t="s">
        <v>94</v>
      </c>
      <c r="F41" s="35" t="s">
        <v>66</v>
      </c>
      <c r="G41" s="35" t="s">
        <v>352</v>
      </c>
      <c r="H41" s="52">
        <v>0.35768518518518516</v>
      </c>
      <c r="I41" s="36">
        <v>2.0</v>
      </c>
      <c r="J41" s="37">
        <v>10.0</v>
      </c>
      <c r="K41" s="35" t="s">
        <v>353</v>
      </c>
    </row>
    <row r="42" ht="15.75" customHeight="1">
      <c r="A42" s="40">
        <v>46175.0</v>
      </c>
      <c r="B42" s="35" t="s">
        <v>245</v>
      </c>
      <c r="C42" s="35" t="s">
        <v>246</v>
      </c>
      <c r="D42" s="36">
        <v>10.0</v>
      </c>
      <c r="E42" s="35" t="s">
        <v>94</v>
      </c>
      <c r="F42" s="35" t="s">
        <v>66</v>
      </c>
      <c r="G42" s="35" t="s">
        <v>357</v>
      </c>
      <c r="H42" s="52">
        <v>0.37440972222222224</v>
      </c>
      <c r="I42" s="36">
        <v>0.0</v>
      </c>
      <c r="J42" s="37">
        <v>0.0</v>
      </c>
      <c r="K42" s="35" t="s">
        <v>359</v>
      </c>
    </row>
    <row r="43" ht="15.75" customHeight="1">
      <c r="A43" s="40">
        <v>46177.0</v>
      </c>
      <c r="B43" s="35" t="s">
        <v>249</v>
      </c>
      <c r="C43" s="35" t="s">
        <v>250</v>
      </c>
      <c r="D43" s="36">
        <v>10.0</v>
      </c>
      <c r="E43" s="35" t="s">
        <v>94</v>
      </c>
      <c r="F43" s="35" t="s">
        <v>66</v>
      </c>
      <c r="G43" s="35" t="s">
        <v>352</v>
      </c>
      <c r="H43" s="52">
        <v>0.3488773148148148</v>
      </c>
      <c r="I43" s="36">
        <v>1.0</v>
      </c>
      <c r="J43" s="37">
        <v>10.0</v>
      </c>
      <c r="K43" s="35" t="s">
        <v>353</v>
      </c>
    </row>
    <row r="44" ht="15.75" customHeight="1">
      <c r="A44" s="40">
        <v>46177.0</v>
      </c>
      <c r="B44" s="35" t="s">
        <v>251</v>
      </c>
      <c r="C44" s="35" t="s">
        <v>252</v>
      </c>
      <c r="D44" s="36">
        <v>10.0</v>
      </c>
      <c r="E44" s="35" t="s">
        <v>94</v>
      </c>
      <c r="F44" s="35" t="s">
        <v>66</v>
      </c>
      <c r="G44" s="35" t="s">
        <v>352</v>
      </c>
      <c r="H44" s="52">
        <v>0.34902777777777777</v>
      </c>
      <c r="I44" s="36">
        <v>1.0</v>
      </c>
      <c r="J44" s="37">
        <v>10.0</v>
      </c>
      <c r="K44" s="35" t="s">
        <v>353</v>
      </c>
    </row>
    <row r="45" ht="15.75" customHeight="1">
      <c r="A45" s="40">
        <v>46177.0</v>
      </c>
      <c r="B45" s="35" t="s">
        <v>243</v>
      </c>
      <c r="C45" s="35" t="s">
        <v>244</v>
      </c>
      <c r="D45" s="36">
        <v>10.0</v>
      </c>
      <c r="E45" s="35" t="s">
        <v>94</v>
      </c>
      <c r="F45" s="35" t="s">
        <v>66</v>
      </c>
      <c r="G45" s="35" t="s">
        <v>352</v>
      </c>
      <c r="H45" s="52">
        <v>0.34966435185185185</v>
      </c>
      <c r="I45" s="36">
        <v>1.0</v>
      </c>
      <c r="J45" s="37">
        <v>10.0</v>
      </c>
      <c r="K45" s="35" t="s">
        <v>353</v>
      </c>
    </row>
    <row r="46" ht="15.75" customHeight="1">
      <c r="A46" s="40">
        <v>46177.0</v>
      </c>
      <c r="B46" s="35" t="s">
        <v>97</v>
      </c>
      <c r="C46" s="35" t="s">
        <v>98</v>
      </c>
      <c r="D46" s="36">
        <v>10.0</v>
      </c>
      <c r="E46" s="35" t="s">
        <v>94</v>
      </c>
      <c r="F46" s="35" t="s">
        <v>66</v>
      </c>
      <c r="G46" s="35" t="s">
        <v>352</v>
      </c>
      <c r="H46" s="52">
        <v>0.34987268518518516</v>
      </c>
      <c r="I46" s="36">
        <v>1.0</v>
      </c>
      <c r="J46" s="37">
        <v>10.0</v>
      </c>
      <c r="K46" s="35" t="s">
        <v>353</v>
      </c>
    </row>
    <row r="47" ht="15.75" customHeight="1">
      <c r="A47" s="40">
        <v>46177.0</v>
      </c>
      <c r="B47" s="35" t="s">
        <v>247</v>
      </c>
      <c r="C47" s="35" t="s">
        <v>337</v>
      </c>
      <c r="D47" s="36">
        <v>10.0</v>
      </c>
      <c r="E47" s="35" t="s">
        <v>94</v>
      </c>
      <c r="F47" s="35" t="s">
        <v>66</v>
      </c>
      <c r="G47" s="35" t="s">
        <v>352</v>
      </c>
      <c r="H47" s="52">
        <v>0.35609953703703706</v>
      </c>
      <c r="I47" s="36">
        <v>1.0</v>
      </c>
      <c r="J47" s="37">
        <v>10.0</v>
      </c>
      <c r="K47" s="35" t="s">
        <v>353</v>
      </c>
    </row>
    <row r="48" ht="15.75" customHeight="1">
      <c r="A48" s="40">
        <v>46177.0</v>
      </c>
      <c r="B48" s="35" t="s">
        <v>92</v>
      </c>
      <c r="C48" s="35" t="s">
        <v>93</v>
      </c>
      <c r="D48" s="36">
        <v>10.0</v>
      </c>
      <c r="E48" s="35" t="s">
        <v>94</v>
      </c>
      <c r="F48" s="35" t="s">
        <v>66</v>
      </c>
      <c r="G48" s="35" t="s">
        <v>352</v>
      </c>
      <c r="H48" s="52">
        <v>0.3565277777777778</v>
      </c>
      <c r="I48" s="36">
        <v>1.0</v>
      </c>
      <c r="J48" s="37">
        <v>10.0</v>
      </c>
      <c r="K48" s="35" t="s">
        <v>353</v>
      </c>
    </row>
    <row r="49" ht="15.75" customHeight="1">
      <c r="A49" s="40">
        <v>46177.0</v>
      </c>
      <c r="B49" s="35" t="s">
        <v>253</v>
      </c>
      <c r="C49" s="35" t="s">
        <v>254</v>
      </c>
      <c r="D49" s="36">
        <v>10.0</v>
      </c>
      <c r="E49" s="35" t="s">
        <v>94</v>
      </c>
      <c r="F49" s="35" t="s">
        <v>66</v>
      </c>
      <c r="G49" s="35" t="s">
        <v>352</v>
      </c>
      <c r="H49" s="52">
        <v>0.35766203703703703</v>
      </c>
      <c r="I49" s="36">
        <v>1.0</v>
      </c>
      <c r="J49" s="37">
        <v>10.0</v>
      </c>
      <c r="K49" s="35" t="s">
        <v>353</v>
      </c>
    </row>
    <row r="50" ht="15.75" customHeight="1">
      <c r="A50" s="40">
        <v>46177.0</v>
      </c>
      <c r="B50" s="35" t="s">
        <v>103</v>
      </c>
      <c r="C50" s="35" t="s">
        <v>104</v>
      </c>
      <c r="D50" s="36">
        <v>10.0</v>
      </c>
      <c r="E50" s="35" t="s">
        <v>94</v>
      </c>
      <c r="F50" s="35" t="s">
        <v>66</v>
      </c>
      <c r="G50" s="35" t="s">
        <v>352</v>
      </c>
      <c r="H50" s="52">
        <v>0.3579976851851852</v>
      </c>
      <c r="I50" s="36">
        <v>1.0</v>
      </c>
      <c r="J50" s="37">
        <v>10.0</v>
      </c>
      <c r="K50" s="35" t="s">
        <v>353</v>
      </c>
    </row>
    <row r="51" ht="15.75" customHeight="1">
      <c r="A51" s="40">
        <v>46177.0</v>
      </c>
      <c r="B51" s="35" t="s">
        <v>255</v>
      </c>
      <c r="C51" s="35" t="s">
        <v>256</v>
      </c>
      <c r="D51" s="36">
        <v>10.0</v>
      </c>
      <c r="E51" s="35" t="s">
        <v>94</v>
      </c>
      <c r="F51" s="35" t="s">
        <v>66</v>
      </c>
      <c r="G51" s="35" t="s">
        <v>352</v>
      </c>
      <c r="H51" s="52">
        <v>0.35813657407407407</v>
      </c>
      <c r="I51" s="36">
        <v>1.0</v>
      </c>
      <c r="J51" s="37">
        <v>10.0</v>
      </c>
      <c r="K51" s="35" t="s">
        <v>353</v>
      </c>
    </row>
    <row r="52" ht="15.75" customHeight="1">
      <c r="A52" s="40">
        <v>46177.0</v>
      </c>
      <c r="B52" s="35" t="s">
        <v>240</v>
      </c>
      <c r="C52" s="35" t="s">
        <v>241</v>
      </c>
      <c r="D52" s="36">
        <v>10.0</v>
      </c>
      <c r="E52" s="35" t="s">
        <v>94</v>
      </c>
      <c r="F52" s="35" t="s">
        <v>66</v>
      </c>
      <c r="G52" s="35" t="s">
        <v>357</v>
      </c>
      <c r="H52" s="52">
        <v>0.3590393518518519</v>
      </c>
      <c r="I52" s="36">
        <v>0.0</v>
      </c>
      <c r="J52" s="37">
        <v>0.0</v>
      </c>
      <c r="K52" s="35" t="s">
        <v>360</v>
      </c>
    </row>
    <row r="53" ht="15.75" customHeight="1">
      <c r="A53" s="40">
        <v>46177.0</v>
      </c>
      <c r="B53" s="35" t="s">
        <v>245</v>
      </c>
      <c r="C53" s="35" t="s">
        <v>246</v>
      </c>
      <c r="D53" s="36">
        <v>10.0</v>
      </c>
      <c r="E53" s="35" t="s">
        <v>94</v>
      </c>
      <c r="F53" s="35" t="s">
        <v>66</v>
      </c>
      <c r="G53" s="35" t="s">
        <v>357</v>
      </c>
      <c r="H53" s="52">
        <v>0.36453703703703705</v>
      </c>
      <c r="I53" s="36">
        <v>0.0</v>
      </c>
      <c r="J53" s="37">
        <v>0.0</v>
      </c>
      <c r="K53" s="35" t="s">
        <v>359</v>
      </c>
    </row>
    <row r="54" ht="15.75" customHeight="1">
      <c r="A54" s="40">
        <v>46178.0</v>
      </c>
      <c r="B54" s="35" t="s">
        <v>247</v>
      </c>
      <c r="C54" s="35" t="s">
        <v>337</v>
      </c>
      <c r="D54" s="36">
        <v>10.0</v>
      </c>
      <c r="E54" s="35" t="s">
        <v>94</v>
      </c>
      <c r="F54" s="35" t="s">
        <v>66</v>
      </c>
      <c r="G54" s="35" t="s">
        <v>352</v>
      </c>
      <c r="H54" s="52">
        <v>0.34511574074074075</v>
      </c>
      <c r="I54" s="36">
        <v>2.0</v>
      </c>
      <c r="J54" s="37">
        <v>10.0</v>
      </c>
      <c r="K54" s="35" t="s">
        <v>353</v>
      </c>
    </row>
    <row r="55" ht="15.75" customHeight="1">
      <c r="A55" s="40">
        <v>46178.0</v>
      </c>
      <c r="B55" s="35" t="s">
        <v>97</v>
      </c>
      <c r="C55" s="35" t="s">
        <v>98</v>
      </c>
      <c r="D55" s="36">
        <v>10.0</v>
      </c>
      <c r="E55" s="35" t="s">
        <v>94</v>
      </c>
      <c r="F55" s="35" t="s">
        <v>66</v>
      </c>
      <c r="G55" s="35" t="s">
        <v>352</v>
      </c>
      <c r="H55" s="52">
        <v>0.34528935185185183</v>
      </c>
      <c r="I55" s="36">
        <v>2.0</v>
      </c>
      <c r="J55" s="37">
        <v>10.0</v>
      </c>
      <c r="K55" s="35" t="s">
        <v>353</v>
      </c>
    </row>
    <row r="56" ht="15.75" customHeight="1">
      <c r="A56" s="40">
        <v>46178.0</v>
      </c>
      <c r="B56" s="35" t="s">
        <v>251</v>
      </c>
      <c r="C56" s="35" t="s">
        <v>252</v>
      </c>
      <c r="D56" s="36">
        <v>10.0</v>
      </c>
      <c r="E56" s="35" t="s">
        <v>94</v>
      </c>
      <c r="F56" s="35" t="s">
        <v>66</v>
      </c>
      <c r="G56" s="35" t="s">
        <v>352</v>
      </c>
      <c r="H56" s="52">
        <v>0.34954861111111113</v>
      </c>
      <c r="I56" s="36">
        <v>2.0</v>
      </c>
      <c r="J56" s="37">
        <v>10.0</v>
      </c>
      <c r="K56" s="35" t="s">
        <v>353</v>
      </c>
    </row>
    <row r="57" ht="15.75" customHeight="1">
      <c r="A57" s="40">
        <v>46178.0</v>
      </c>
      <c r="B57" s="35" t="s">
        <v>243</v>
      </c>
      <c r="C57" s="35" t="s">
        <v>244</v>
      </c>
      <c r="D57" s="36">
        <v>10.0</v>
      </c>
      <c r="E57" s="35" t="s">
        <v>94</v>
      </c>
      <c r="F57" s="35" t="s">
        <v>66</v>
      </c>
      <c r="G57" s="35" t="s">
        <v>352</v>
      </c>
      <c r="H57" s="52">
        <v>0.35011574074074076</v>
      </c>
      <c r="I57" s="36">
        <v>2.0</v>
      </c>
      <c r="J57" s="37">
        <v>10.0</v>
      </c>
      <c r="K57" s="35" t="s">
        <v>353</v>
      </c>
    </row>
    <row r="58" ht="15.75" customHeight="1">
      <c r="A58" s="40">
        <v>46178.0</v>
      </c>
      <c r="B58" s="35" t="s">
        <v>92</v>
      </c>
      <c r="C58" s="35" t="s">
        <v>93</v>
      </c>
      <c r="D58" s="36">
        <v>10.0</v>
      </c>
      <c r="E58" s="35" t="s">
        <v>94</v>
      </c>
      <c r="F58" s="35" t="s">
        <v>66</v>
      </c>
      <c r="G58" s="35" t="s">
        <v>352</v>
      </c>
      <c r="H58" s="52">
        <v>0.35511574074074076</v>
      </c>
      <c r="I58" s="36">
        <v>2.0</v>
      </c>
      <c r="J58" s="37">
        <v>10.0</v>
      </c>
      <c r="K58" s="35" t="s">
        <v>353</v>
      </c>
    </row>
    <row r="59" ht="15.75" customHeight="1">
      <c r="A59" s="40">
        <v>46178.0</v>
      </c>
      <c r="B59" s="35" t="s">
        <v>255</v>
      </c>
      <c r="C59" s="35" t="s">
        <v>256</v>
      </c>
      <c r="D59" s="36">
        <v>10.0</v>
      </c>
      <c r="E59" s="35" t="s">
        <v>94</v>
      </c>
      <c r="F59" s="35" t="s">
        <v>66</v>
      </c>
      <c r="G59" s="35" t="s">
        <v>352</v>
      </c>
      <c r="H59" s="52">
        <v>0.3565277777777778</v>
      </c>
      <c r="I59" s="36">
        <v>2.0</v>
      </c>
      <c r="J59" s="37">
        <v>10.0</v>
      </c>
      <c r="K59" s="35" t="s">
        <v>353</v>
      </c>
    </row>
    <row r="60" ht="15.75" customHeight="1">
      <c r="A60" s="40">
        <v>46178.0</v>
      </c>
      <c r="B60" s="35" t="s">
        <v>240</v>
      </c>
      <c r="C60" s="35" t="s">
        <v>241</v>
      </c>
      <c r="D60" s="36">
        <v>10.0</v>
      </c>
      <c r="E60" s="35" t="s">
        <v>94</v>
      </c>
      <c r="F60" s="35" t="s">
        <v>66</v>
      </c>
      <c r="G60" s="35" t="s">
        <v>352</v>
      </c>
      <c r="H60" s="52">
        <v>0.35777777777777775</v>
      </c>
      <c r="I60" s="36">
        <v>1.0</v>
      </c>
      <c r="J60" s="37">
        <v>10.0</v>
      </c>
      <c r="K60" s="35" t="s">
        <v>353</v>
      </c>
    </row>
    <row r="61" ht="15.75" customHeight="1">
      <c r="A61" s="40">
        <v>46178.0</v>
      </c>
      <c r="B61" s="35" t="s">
        <v>103</v>
      </c>
      <c r="C61" s="35" t="s">
        <v>104</v>
      </c>
      <c r="D61" s="36">
        <v>10.0</v>
      </c>
      <c r="E61" s="35" t="s">
        <v>94</v>
      </c>
      <c r="F61" s="35" t="s">
        <v>66</v>
      </c>
      <c r="G61" s="35" t="s">
        <v>357</v>
      </c>
      <c r="H61" s="52">
        <v>0.3751273148148148</v>
      </c>
      <c r="I61" s="36">
        <v>0.0</v>
      </c>
      <c r="J61" s="37">
        <v>0.0</v>
      </c>
      <c r="K61" s="35" t="s">
        <v>360</v>
      </c>
    </row>
    <row r="62" ht="15.75" customHeight="1">
      <c r="A62" s="40">
        <v>46181.0</v>
      </c>
      <c r="B62" s="35" t="s">
        <v>251</v>
      </c>
      <c r="C62" s="35" t="s">
        <v>252</v>
      </c>
      <c r="D62" s="36">
        <v>10.0</v>
      </c>
      <c r="E62" s="35" t="s">
        <v>94</v>
      </c>
      <c r="F62" s="35" t="s">
        <v>66</v>
      </c>
      <c r="G62" s="35" t="s">
        <v>352</v>
      </c>
      <c r="H62" s="52">
        <v>0.34350694444444446</v>
      </c>
      <c r="I62" s="36">
        <v>1.0</v>
      </c>
      <c r="J62" s="37">
        <v>10.0</v>
      </c>
      <c r="K62" s="35" t="s">
        <v>353</v>
      </c>
    </row>
    <row r="63" ht="15.75" customHeight="1">
      <c r="A63" s="40">
        <v>46181.0</v>
      </c>
      <c r="B63" s="35" t="s">
        <v>243</v>
      </c>
      <c r="C63" s="35" t="s">
        <v>244</v>
      </c>
      <c r="D63" s="36">
        <v>10.0</v>
      </c>
      <c r="E63" s="35" t="s">
        <v>94</v>
      </c>
      <c r="F63" s="35" t="s">
        <v>66</v>
      </c>
      <c r="G63" s="35" t="s">
        <v>352</v>
      </c>
      <c r="H63" s="52">
        <v>0.3487037037037037</v>
      </c>
      <c r="I63" s="36">
        <v>1.0</v>
      </c>
      <c r="J63" s="37">
        <v>10.0</v>
      </c>
      <c r="K63" s="35" t="s">
        <v>353</v>
      </c>
    </row>
    <row r="64" ht="15.75" customHeight="1">
      <c r="A64" s="40">
        <v>46181.0</v>
      </c>
      <c r="B64" s="35" t="s">
        <v>97</v>
      </c>
      <c r="C64" s="35" t="s">
        <v>98</v>
      </c>
      <c r="D64" s="36">
        <v>10.0</v>
      </c>
      <c r="E64" s="35" t="s">
        <v>94</v>
      </c>
      <c r="F64" s="35" t="s">
        <v>66</v>
      </c>
      <c r="G64" s="35" t="s">
        <v>352</v>
      </c>
      <c r="H64" s="52">
        <v>0.34921296296296295</v>
      </c>
      <c r="I64" s="36">
        <v>1.0</v>
      </c>
      <c r="J64" s="37">
        <v>10.0</v>
      </c>
      <c r="K64" s="35" t="s">
        <v>353</v>
      </c>
    </row>
    <row r="65" ht="15.75" customHeight="1">
      <c r="A65" s="40">
        <v>46181.0</v>
      </c>
      <c r="B65" s="35" t="s">
        <v>103</v>
      </c>
      <c r="C65" s="35" t="s">
        <v>104</v>
      </c>
      <c r="D65" s="36">
        <v>10.0</v>
      </c>
      <c r="E65" s="35" t="s">
        <v>94</v>
      </c>
      <c r="F65" s="35" t="s">
        <v>66</v>
      </c>
      <c r="G65" s="35" t="s">
        <v>352</v>
      </c>
      <c r="H65" s="52">
        <v>0.35064814814814815</v>
      </c>
      <c r="I65" s="36">
        <v>1.0</v>
      </c>
      <c r="J65" s="37">
        <v>10.0</v>
      </c>
      <c r="K65" s="35" t="s">
        <v>353</v>
      </c>
    </row>
    <row r="66" ht="15.75" customHeight="1">
      <c r="A66" s="40">
        <v>46181.0</v>
      </c>
      <c r="B66" s="35" t="s">
        <v>247</v>
      </c>
      <c r="C66" s="35" t="s">
        <v>248</v>
      </c>
      <c r="D66" s="36">
        <v>10.0</v>
      </c>
      <c r="E66" s="35" t="s">
        <v>94</v>
      </c>
      <c r="F66" s="35" t="s">
        <v>66</v>
      </c>
      <c r="G66" s="35" t="s">
        <v>352</v>
      </c>
      <c r="H66" s="52">
        <v>0.35194444444444445</v>
      </c>
      <c r="I66" s="36">
        <v>1.0</v>
      </c>
      <c r="J66" s="37">
        <v>10.0</v>
      </c>
      <c r="K66" s="35" t="s">
        <v>353</v>
      </c>
    </row>
    <row r="67" ht="15.75" customHeight="1">
      <c r="A67" s="40">
        <v>46181.0</v>
      </c>
      <c r="B67" s="35" t="s">
        <v>249</v>
      </c>
      <c r="C67" s="35" t="s">
        <v>250</v>
      </c>
      <c r="D67" s="36">
        <v>10.0</v>
      </c>
      <c r="E67" s="35" t="s">
        <v>94</v>
      </c>
      <c r="F67" s="35" t="s">
        <v>66</v>
      </c>
      <c r="G67" s="35" t="s">
        <v>352</v>
      </c>
      <c r="H67" s="52">
        <v>0.3540740740740741</v>
      </c>
      <c r="I67" s="36">
        <v>1.0</v>
      </c>
      <c r="J67" s="37">
        <v>10.0</v>
      </c>
      <c r="K67" s="35" t="s">
        <v>353</v>
      </c>
    </row>
    <row r="68" ht="15.75" customHeight="1">
      <c r="A68" s="40">
        <v>46181.0</v>
      </c>
      <c r="B68" s="35" t="s">
        <v>255</v>
      </c>
      <c r="C68" s="35" t="s">
        <v>256</v>
      </c>
      <c r="D68" s="36">
        <v>10.0</v>
      </c>
      <c r="E68" s="35" t="s">
        <v>94</v>
      </c>
      <c r="F68" s="35" t="s">
        <v>66</v>
      </c>
      <c r="G68" s="35" t="s">
        <v>352</v>
      </c>
      <c r="H68" s="52">
        <v>0.3569791666666667</v>
      </c>
      <c r="I68" s="36">
        <v>1.0</v>
      </c>
      <c r="J68" s="37">
        <v>10.0</v>
      </c>
      <c r="K68" s="35" t="s">
        <v>353</v>
      </c>
    </row>
    <row r="69" ht="15.75" customHeight="1">
      <c r="A69" s="40">
        <v>46181.0</v>
      </c>
      <c r="B69" s="35" t="s">
        <v>253</v>
      </c>
      <c r="C69" s="35" t="s">
        <v>254</v>
      </c>
      <c r="D69" s="36">
        <v>10.0</v>
      </c>
      <c r="E69" s="35" t="s">
        <v>94</v>
      </c>
      <c r="F69" s="35" t="s">
        <v>66</v>
      </c>
      <c r="G69" s="35" t="s">
        <v>352</v>
      </c>
      <c r="H69" s="52">
        <v>0.3571412037037037</v>
      </c>
      <c r="I69" s="36">
        <v>1.0</v>
      </c>
      <c r="J69" s="37">
        <v>10.0</v>
      </c>
      <c r="K69" s="35" t="s">
        <v>353</v>
      </c>
    </row>
    <row r="70" ht="15.75" customHeight="1">
      <c r="A70" s="40">
        <v>46181.0</v>
      </c>
      <c r="B70" s="35" t="s">
        <v>240</v>
      </c>
      <c r="C70" s="35" t="s">
        <v>241</v>
      </c>
      <c r="D70" s="36">
        <v>10.0</v>
      </c>
      <c r="E70" s="35" t="s">
        <v>94</v>
      </c>
      <c r="F70" s="35" t="s">
        <v>66</v>
      </c>
      <c r="G70" s="35" t="s">
        <v>352</v>
      </c>
      <c r="H70" s="52">
        <v>0.35736111111111113</v>
      </c>
      <c r="I70" s="36">
        <v>1.0</v>
      </c>
      <c r="J70" s="37">
        <v>10.0</v>
      </c>
      <c r="K70" s="35" t="s">
        <v>353</v>
      </c>
    </row>
    <row r="71" ht="15.75" customHeight="1">
      <c r="A71" s="40">
        <v>46181.0</v>
      </c>
      <c r="B71" s="35" t="s">
        <v>245</v>
      </c>
      <c r="C71" s="35" t="s">
        <v>246</v>
      </c>
      <c r="D71" s="36">
        <v>10.0</v>
      </c>
      <c r="E71" s="35" t="s">
        <v>94</v>
      </c>
      <c r="F71" s="35" t="s">
        <v>66</v>
      </c>
      <c r="G71" s="35" t="s">
        <v>357</v>
      </c>
      <c r="H71" s="52">
        <v>0.3661226851851852</v>
      </c>
      <c r="I71" s="36">
        <v>0.0</v>
      </c>
      <c r="J71" s="37">
        <v>0.0</v>
      </c>
      <c r="K71" s="35" t="s">
        <v>360</v>
      </c>
    </row>
    <row r="72" ht="15.75" customHeight="1">
      <c r="A72" s="40">
        <v>46182.0</v>
      </c>
      <c r="B72" s="35" t="s">
        <v>97</v>
      </c>
      <c r="C72" s="35" t="s">
        <v>98</v>
      </c>
      <c r="D72" s="36">
        <v>10.0</v>
      </c>
      <c r="E72" s="35" t="s">
        <v>94</v>
      </c>
      <c r="F72" s="35" t="s">
        <v>66</v>
      </c>
      <c r="G72" s="35" t="s">
        <v>352</v>
      </c>
      <c r="H72" s="52">
        <v>0.34721064814814817</v>
      </c>
      <c r="I72" s="36">
        <v>2.0</v>
      </c>
      <c r="J72" s="37">
        <v>10.0</v>
      </c>
      <c r="K72" s="35" t="s">
        <v>353</v>
      </c>
    </row>
    <row r="73" ht="15.75" customHeight="1">
      <c r="A73" s="40">
        <v>46182.0</v>
      </c>
      <c r="B73" s="35" t="s">
        <v>251</v>
      </c>
      <c r="C73" s="35" t="s">
        <v>252</v>
      </c>
      <c r="D73" s="36">
        <v>10.0</v>
      </c>
      <c r="E73" s="35" t="s">
        <v>94</v>
      </c>
      <c r="F73" s="35" t="s">
        <v>66</v>
      </c>
      <c r="G73" s="35" t="s">
        <v>352</v>
      </c>
      <c r="H73" s="52">
        <v>0.3479861111111111</v>
      </c>
      <c r="I73" s="36">
        <v>2.0</v>
      </c>
      <c r="J73" s="37">
        <v>10.0</v>
      </c>
      <c r="K73" s="35" t="s">
        <v>353</v>
      </c>
    </row>
    <row r="74" ht="15.75" customHeight="1">
      <c r="A74" s="40">
        <v>46182.0</v>
      </c>
      <c r="B74" s="35" t="s">
        <v>243</v>
      </c>
      <c r="C74" s="35" t="s">
        <v>244</v>
      </c>
      <c r="D74" s="36">
        <v>10.0</v>
      </c>
      <c r="E74" s="35" t="s">
        <v>94</v>
      </c>
      <c r="F74" s="35" t="s">
        <v>66</v>
      </c>
      <c r="G74" s="35" t="s">
        <v>352</v>
      </c>
      <c r="H74" s="52">
        <v>0.3516087962962963</v>
      </c>
      <c r="I74" s="36">
        <v>2.0</v>
      </c>
      <c r="J74" s="37">
        <v>10.0</v>
      </c>
      <c r="K74" s="35" t="s">
        <v>353</v>
      </c>
    </row>
    <row r="75" ht="15.75" customHeight="1">
      <c r="A75" s="40">
        <v>46182.0</v>
      </c>
      <c r="B75" s="35" t="s">
        <v>247</v>
      </c>
      <c r="C75" s="35" t="s">
        <v>248</v>
      </c>
      <c r="D75" s="36">
        <v>10.0</v>
      </c>
      <c r="E75" s="35" t="s">
        <v>94</v>
      </c>
      <c r="F75" s="35" t="s">
        <v>66</v>
      </c>
      <c r="G75" s="35" t="s">
        <v>352</v>
      </c>
      <c r="H75" s="52">
        <v>0.3525462962962963</v>
      </c>
      <c r="I75" s="36">
        <v>2.0</v>
      </c>
      <c r="J75" s="37">
        <v>10.0</v>
      </c>
      <c r="K75" s="35" t="s">
        <v>353</v>
      </c>
    </row>
    <row r="76" ht="15.75" customHeight="1">
      <c r="A76" s="40">
        <v>46182.0</v>
      </c>
      <c r="B76" s="35" t="s">
        <v>253</v>
      </c>
      <c r="C76" s="35" t="s">
        <v>254</v>
      </c>
      <c r="D76" s="36">
        <v>10.0</v>
      </c>
      <c r="E76" s="35" t="s">
        <v>94</v>
      </c>
      <c r="F76" s="35" t="s">
        <v>66</v>
      </c>
      <c r="G76" s="35" t="s">
        <v>352</v>
      </c>
      <c r="H76" s="52">
        <v>0.3537962962962963</v>
      </c>
      <c r="I76" s="36">
        <v>2.0</v>
      </c>
      <c r="J76" s="37">
        <v>10.0</v>
      </c>
      <c r="K76" s="35" t="s">
        <v>353</v>
      </c>
    </row>
    <row r="77" ht="15.75" customHeight="1">
      <c r="A77" s="40">
        <v>46182.0</v>
      </c>
      <c r="B77" s="35" t="s">
        <v>92</v>
      </c>
      <c r="C77" s="35" t="s">
        <v>93</v>
      </c>
      <c r="D77" s="36">
        <v>10.0</v>
      </c>
      <c r="E77" s="35" t="s">
        <v>94</v>
      </c>
      <c r="F77" s="35" t="s">
        <v>66</v>
      </c>
      <c r="G77" s="35" t="s">
        <v>352</v>
      </c>
      <c r="H77" s="52">
        <v>0.3547106481481481</v>
      </c>
      <c r="I77" s="36">
        <v>1.0</v>
      </c>
      <c r="J77" s="37">
        <v>10.0</v>
      </c>
      <c r="K77" s="35" t="s">
        <v>353</v>
      </c>
    </row>
    <row r="78" ht="15.75" customHeight="1">
      <c r="A78" s="40">
        <v>46182.0</v>
      </c>
      <c r="B78" s="35" t="s">
        <v>255</v>
      </c>
      <c r="C78" s="35" t="s">
        <v>256</v>
      </c>
      <c r="D78" s="36">
        <v>10.0</v>
      </c>
      <c r="E78" s="35" t="s">
        <v>94</v>
      </c>
      <c r="F78" s="35" t="s">
        <v>66</v>
      </c>
      <c r="G78" s="35" t="s">
        <v>352</v>
      </c>
      <c r="H78" s="52">
        <v>0.3568634259259259</v>
      </c>
      <c r="I78" s="36">
        <v>2.0</v>
      </c>
      <c r="J78" s="37">
        <v>10.0</v>
      </c>
      <c r="K78" s="35" t="s">
        <v>353</v>
      </c>
    </row>
    <row r="79" ht="15.75" customHeight="1">
      <c r="A79" s="40">
        <v>46182.0</v>
      </c>
      <c r="B79" s="35" t="s">
        <v>240</v>
      </c>
      <c r="C79" s="35" t="s">
        <v>241</v>
      </c>
      <c r="D79" s="36">
        <v>10.0</v>
      </c>
      <c r="E79" s="35" t="s">
        <v>94</v>
      </c>
      <c r="F79" s="35" t="s">
        <v>66</v>
      </c>
      <c r="G79" s="35" t="s">
        <v>352</v>
      </c>
      <c r="H79" s="52">
        <v>0.35724537037037035</v>
      </c>
      <c r="I79" s="36">
        <v>2.0</v>
      </c>
      <c r="J79" s="37">
        <v>10.0</v>
      </c>
      <c r="K79" s="35" t="s">
        <v>353</v>
      </c>
    </row>
    <row r="80" ht="15.75" customHeight="1">
      <c r="A80" s="40">
        <v>46182.0</v>
      </c>
      <c r="B80" s="35" t="s">
        <v>103</v>
      </c>
      <c r="C80" s="35" t="s">
        <v>104</v>
      </c>
      <c r="D80" s="36">
        <v>10.0</v>
      </c>
      <c r="E80" s="35" t="s">
        <v>94</v>
      </c>
      <c r="F80" s="35" t="s">
        <v>66</v>
      </c>
      <c r="G80" s="35" t="s">
        <v>352</v>
      </c>
      <c r="H80" s="52">
        <v>0.35805555555555557</v>
      </c>
      <c r="I80" s="36">
        <v>2.0</v>
      </c>
      <c r="J80" s="37">
        <v>10.0</v>
      </c>
      <c r="K80" s="35" t="s">
        <v>353</v>
      </c>
    </row>
    <row r="81" ht="15.75" customHeight="1">
      <c r="A81" s="40">
        <v>46183.0</v>
      </c>
      <c r="B81" s="35" t="s">
        <v>247</v>
      </c>
      <c r="C81" s="35" t="s">
        <v>248</v>
      </c>
      <c r="D81" s="36">
        <v>10.0</v>
      </c>
      <c r="E81" s="35" t="s">
        <v>94</v>
      </c>
      <c r="F81" s="35" t="s">
        <v>66</v>
      </c>
      <c r="G81" s="35" t="s">
        <v>352</v>
      </c>
      <c r="H81" s="52">
        <v>0.34607638888888886</v>
      </c>
      <c r="I81" s="36">
        <v>3.0</v>
      </c>
      <c r="J81" s="37">
        <v>10.0</v>
      </c>
      <c r="K81" s="35" t="s">
        <v>353</v>
      </c>
    </row>
    <row r="82" ht="15.75" customHeight="1">
      <c r="A82" s="40">
        <v>46183.0</v>
      </c>
      <c r="B82" s="35" t="s">
        <v>97</v>
      </c>
      <c r="C82" s="35" t="s">
        <v>98</v>
      </c>
      <c r="D82" s="36">
        <v>10.0</v>
      </c>
      <c r="E82" s="35" t="s">
        <v>94</v>
      </c>
      <c r="F82" s="35" t="s">
        <v>66</v>
      </c>
      <c r="G82" s="35" t="s">
        <v>352</v>
      </c>
      <c r="H82" s="52">
        <v>0.3504861111111111</v>
      </c>
      <c r="I82" s="36">
        <v>3.0</v>
      </c>
      <c r="J82" s="37">
        <v>10.0</v>
      </c>
      <c r="K82" s="35" t="s">
        <v>353</v>
      </c>
    </row>
    <row r="83" ht="15.75" customHeight="1">
      <c r="A83" s="40">
        <v>46183.0</v>
      </c>
      <c r="B83" s="35" t="s">
        <v>251</v>
      </c>
      <c r="C83" s="35" t="s">
        <v>252</v>
      </c>
      <c r="D83" s="36">
        <v>10.0</v>
      </c>
      <c r="E83" s="35" t="s">
        <v>94</v>
      </c>
      <c r="F83" s="35" t="s">
        <v>66</v>
      </c>
      <c r="G83" s="35" t="s">
        <v>352</v>
      </c>
      <c r="H83" s="52">
        <v>0.35239583333333335</v>
      </c>
      <c r="I83" s="36">
        <v>3.0</v>
      </c>
      <c r="J83" s="37">
        <v>10.0</v>
      </c>
      <c r="K83" s="35" t="s">
        <v>353</v>
      </c>
    </row>
    <row r="84" ht="15.75" customHeight="1">
      <c r="A84" s="40">
        <v>46183.0</v>
      </c>
      <c r="B84" s="35" t="s">
        <v>243</v>
      </c>
      <c r="C84" s="35" t="s">
        <v>244</v>
      </c>
      <c r="D84" s="36">
        <v>10.0</v>
      </c>
      <c r="E84" s="35" t="s">
        <v>94</v>
      </c>
      <c r="F84" s="35" t="s">
        <v>66</v>
      </c>
      <c r="G84" s="35" t="s">
        <v>352</v>
      </c>
      <c r="H84" s="52">
        <v>0.3534953703703704</v>
      </c>
      <c r="I84" s="36">
        <v>3.0</v>
      </c>
      <c r="J84" s="37">
        <v>10.0</v>
      </c>
      <c r="K84" s="35" t="s">
        <v>353</v>
      </c>
    </row>
    <row r="85" ht="15.75" customHeight="1">
      <c r="A85" s="40">
        <v>46183.0</v>
      </c>
      <c r="B85" s="35" t="s">
        <v>92</v>
      </c>
      <c r="C85" s="35" t="s">
        <v>93</v>
      </c>
      <c r="D85" s="36">
        <v>10.0</v>
      </c>
      <c r="E85" s="35" t="s">
        <v>94</v>
      </c>
      <c r="F85" s="35" t="s">
        <v>66</v>
      </c>
      <c r="G85" s="35" t="s">
        <v>352</v>
      </c>
      <c r="H85" s="52">
        <v>0.355</v>
      </c>
      <c r="I85" s="36">
        <v>2.0</v>
      </c>
      <c r="J85" s="37">
        <v>10.0</v>
      </c>
      <c r="K85" s="35" t="s">
        <v>353</v>
      </c>
    </row>
    <row r="86" ht="15.75" customHeight="1">
      <c r="A86" s="40">
        <v>46183.0</v>
      </c>
      <c r="B86" s="35" t="s">
        <v>253</v>
      </c>
      <c r="C86" s="35" t="s">
        <v>254</v>
      </c>
      <c r="D86" s="36">
        <v>10.0</v>
      </c>
      <c r="E86" s="35" t="s">
        <v>94</v>
      </c>
      <c r="F86" s="35" t="s">
        <v>66</v>
      </c>
      <c r="G86" s="35" t="s">
        <v>352</v>
      </c>
      <c r="H86" s="52">
        <v>0.35625</v>
      </c>
      <c r="I86" s="36">
        <v>3.0</v>
      </c>
      <c r="J86" s="37">
        <v>10.0</v>
      </c>
      <c r="K86" s="35" t="s">
        <v>353</v>
      </c>
    </row>
    <row r="87" ht="15.75" customHeight="1">
      <c r="A87" s="40">
        <v>46183.0</v>
      </c>
      <c r="B87" s="35" t="s">
        <v>240</v>
      </c>
      <c r="C87" s="35" t="s">
        <v>241</v>
      </c>
      <c r="D87" s="36">
        <v>10.0</v>
      </c>
      <c r="E87" s="35" t="s">
        <v>94</v>
      </c>
      <c r="F87" s="35" t="s">
        <v>66</v>
      </c>
      <c r="G87" s="35" t="s">
        <v>352</v>
      </c>
      <c r="H87" s="52">
        <v>0.3567476851851852</v>
      </c>
      <c r="I87" s="36">
        <v>3.0</v>
      </c>
      <c r="J87" s="37">
        <v>10.0</v>
      </c>
      <c r="K87" s="35" t="s">
        <v>353</v>
      </c>
    </row>
    <row r="88" ht="15.75" customHeight="1">
      <c r="A88" s="40">
        <v>46183.0</v>
      </c>
      <c r="B88" s="35" t="s">
        <v>255</v>
      </c>
      <c r="C88" s="35" t="s">
        <v>256</v>
      </c>
      <c r="D88" s="36">
        <v>10.0</v>
      </c>
      <c r="E88" s="35" t="s">
        <v>94</v>
      </c>
      <c r="F88" s="35" t="s">
        <v>66</v>
      </c>
      <c r="G88" s="35" t="s">
        <v>357</v>
      </c>
      <c r="H88" s="52">
        <v>0.3696064814814815</v>
      </c>
      <c r="I88" s="36">
        <v>0.0</v>
      </c>
      <c r="J88" s="37">
        <v>0.0</v>
      </c>
      <c r="K88" s="35" t="s">
        <v>360</v>
      </c>
    </row>
    <row r="89" ht="15.75" customHeight="1">
      <c r="A89" s="40">
        <v>46184.0</v>
      </c>
      <c r="B89" s="35" t="s">
        <v>97</v>
      </c>
      <c r="C89" s="35" t="s">
        <v>98</v>
      </c>
      <c r="D89" s="36">
        <v>10.0</v>
      </c>
      <c r="E89" s="35" t="s">
        <v>94</v>
      </c>
      <c r="F89" s="35" t="s">
        <v>66</v>
      </c>
      <c r="G89" s="35" t="s">
        <v>352</v>
      </c>
      <c r="H89" s="52">
        <v>0.34600694444444446</v>
      </c>
      <c r="I89" s="36">
        <v>4.0</v>
      </c>
      <c r="J89" s="37">
        <v>10.0</v>
      </c>
      <c r="K89" s="35" t="s">
        <v>353</v>
      </c>
    </row>
    <row r="90" ht="15.75" customHeight="1">
      <c r="A90" s="40">
        <v>46184.0</v>
      </c>
      <c r="B90" s="35" t="s">
        <v>251</v>
      </c>
      <c r="C90" s="35" t="s">
        <v>252</v>
      </c>
      <c r="D90" s="36">
        <v>10.0</v>
      </c>
      <c r="E90" s="35" t="s">
        <v>94</v>
      </c>
      <c r="F90" s="35" t="s">
        <v>66</v>
      </c>
      <c r="G90" s="35" t="s">
        <v>352</v>
      </c>
      <c r="H90" s="52">
        <v>0.35107638888888887</v>
      </c>
      <c r="I90" s="36">
        <v>4.0</v>
      </c>
      <c r="J90" s="37">
        <v>10.0</v>
      </c>
      <c r="K90" s="35" t="s">
        <v>353</v>
      </c>
    </row>
    <row r="91" ht="15.75" customHeight="1">
      <c r="A91" s="40">
        <v>46184.0</v>
      </c>
      <c r="B91" s="35" t="s">
        <v>243</v>
      </c>
      <c r="C91" s="35" t="s">
        <v>244</v>
      </c>
      <c r="D91" s="36">
        <v>10.0</v>
      </c>
      <c r="E91" s="35" t="s">
        <v>94</v>
      </c>
      <c r="F91" s="35" t="s">
        <v>66</v>
      </c>
      <c r="G91" s="35" t="s">
        <v>352</v>
      </c>
      <c r="H91" s="52">
        <v>0.35226851851851854</v>
      </c>
      <c r="I91" s="36">
        <v>4.0</v>
      </c>
      <c r="J91" s="37">
        <v>10.0</v>
      </c>
      <c r="K91" s="35" t="s">
        <v>353</v>
      </c>
    </row>
    <row r="92" ht="15.75" customHeight="1">
      <c r="A92" s="40">
        <v>46184.0</v>
      </c>
      <c r="B92" s="35" t="s">
        <v>92</v>
      </c>
      <c r="C92" s="35" t="s">
        <v>93</v>
      </c>
      <c r="D92" s="36">
        <v>10.0</v>
      </c>
      <c r="E92" s="35" t="s">
        <v>94</v>
      </c>
      <c r="F92" s="35" t="s">
        <v>66</v>
      </c>
      <c r="G92" s="35" t="s">
        <v>352</v>
      </c>
      <c r="H92" s="52">
        <v>0.35376157407407405</v>
      </c>
      <c r="I92" s="36">
        <v>3.0</v>
      </c>
      <c r="J92" s="37">
        <v>10.0</v>
      </c>
      <c r="K92" s="35" t="s">
        <v>353</v>
      </c>
    </row>
    <row r="93" ht="15.75" customHeight="1">
      <c r="A93" s="40">
        <v>46184.0</v>
      </c>
      <c r="B93" s="35" t="s">
        <v>253</v>
      </c>
      <c r="C93" s="35" t="s">
        <v>254</v>
      </c>
      <c r="D93" s="36">
        <v>10.0</v>
      </c>
      <c r="E93" s="35" t="s">
        <v>94</v>
      </c>
      <c r="F93" s="35" t="s">
        <v>66</v>
      </c>
      <c r="G93" s="35" t="s">
        <v>352</v>
      </c>
      <c r="H93" s="52">
        <v>0.3542476851851852</v>
      </c>
      <c r="I93" s="36">
        <v>4.0</v>
      </c>
      <c r="J93" s="37">
        <v>10.0</v>
      </c>
      <c r="K93" s="35" t="s">
        <v>353</v>
      </c>
    </row>
    <row r="94" ht="15.75" customHeight="1">
      <c r="A94" s="40">
        <v>46184.0</v>
      </c>
      <c r="B94" s="35" t="s">
        <v>249</v>
      </c>
      <c r="C94" s="35" t="s">
        <v>250</v>
      </c>
      <c r="D94" s="36">
        <v>10.0</v>
      </c>
      <c r="E94" s="35" t="s">
        <v>94</v>
      </c>
      <c r="F94" s="35" t="s">
        <v>66</v>
      </c>
      <c r="G94" s="35" t="s">
        <v>352</v>
      </c>
      <c r="H94" s="52">
        <v>0.3559375</v>
      </c>
      <c r="I94" s="36">
        <v>1.0</v>
      </c>
      <c r="J94" s="37">
        <v>10.0</v>
      </c>
      <c r="K94" s="35" t="s">
        <v>353</v>
      </c>
    </row>
    <row r="95" ht="15.75" customHeight="1">
      <c r="A95" s="40">
        <v>46184.0</v>
      </c>
      <c r="B95" s="35" t="s">
        <v>240</v>
      </c>
      <c r="C95" s="35" t="s">
        <v>241</v>
      </c>
      <c r="D95" s="36">
        <v>10.0</v>
      </c>
      <c r="E95" s="35" t="s">
        <v>94</v>
      </c>
      <c r="F95" s="35" t="s">
        <v>66</v>
      </c>
      <c r="G95" s="35" t="s">
        <v>352</v>
      </c>
      <c r="H95" s="52">
        <v>0.35658564814814814</v>
      </c>
      <c r="I95" s="36">
        <v>4.0</v>
      </c>
      <c r="J95" s="37">
        <v>10.0</v>
      </c>
      <c r="K95" s="35" t="s">
        <v>353</v>
      </c>
    </row>
    <row r="96" ht="15.75" customHeight="1">
      <c r="A96" s="40">
        <v>46184.0</v>
      </c>
      <c r="B96" s="35" t="s">
        <v>103</v>
      </c>
      <c r="C96" s="35" t="s">
        <v>104</v>
      </c>
      <c r="D96" s="36">
        <v>10.0</v>
      </c>
      <c r="E96" s="35" t="s">
        <v>94</v>
      </c>
      <c r="F96" s="35" t="s">
        <v>66</v>
      </c>
      <c r="G96" s="35" t="s">
        <v>352</v>
      </c>
      <c r="H96" s="52">
        <v>0.35737268518518517</v>
      </c>
      <c r="I96" s="36">
        <v>1.0</v>
      </c>
      <c r="J96" s="37">
        <v>10.0</v>
      </c>
      <c r="K96" s="35" t="s">
        <v>353</v>
      </c>
    </row>
    <row r="97" ht="15.75" customHeight="1">
      <c r="A97" s="40">
        <v>46184.0</v>
      </c>
      <c r="B97" s="35" t="s">
        <v>247</v>
      </c>
      <c r="C97" s="35" t="s">
        <v>248</v>
      </c>
      <c r="D97" s="36">
        <v>10.0</v>
      </c>
      <c r="E97" s="35" t="s">
        <v>94</v>
      </c>
      <c r="F97" s="35" t="s">
        <v>66</v>
      </c>
      <c r="G97" s="35" t="s">
        <v>352</v>
      </c>
      <c r="H97" s="52">
        <v>0.35766203703703703</v>
      </c>
      <c r="I97" s="36">
        <v>4.0</v>
      </c>
      <c r="J97" s="37">
        <v>10.0</v>
      </c>
      <c r="K97" s="35" t="s">
        <v>353</v>
      </c>
    </row>
    <row r="98" ht="15.75" customHeight="1">
      <c r="A98" s="40">
        <v>46185.0</v>
      </c>
      <c r="B98" s="35" t="s">
        <v>97</v>
      </c>
      <c r="C98" s="35" t="s">
        <v>98</v>
      </c>
      <c r="D98" s="36">
        <v>10.0</v>
      </c>
      <c r="E98" s="35" t="s">
        <v>94</v>
      </c>
      <c r="F98" s="35" t="s">
        <v>66</v>
      </c>
      <c r="G98" s="35" t="s">
        <v>352</v>
      </c>
      <c r="H98" s="52">
        <v>0.3461574074074074</v>
      </c>
      <c r="I98" s="36">
        <v>5.0</v>
      </c>
      <c r="J98" s="37">
        <v>10.0</v>
      </c>
      <c r="K98" s="35" t="s">
        <v>353</v>
      </c>
    </row>
    <row r="99" ht="15.75" customHeight="1">
      <c r="A99" s="40">
        <v>46185.0</v>
      </c>
      <c r="B99" s="35" t="s">
        <v>247</v>
      </c>
      <c r="C99" s="35" t="s">
        <v>248</v>
      </c>
      <c r="D99" s="36">
        <v>10.0</v>
      </c>
      <c r="E99" s="35" t="s">
        <v>94</v>
      </c>
      <c r="F99" s="35" t="s">
        <v>66</v>
      </c>
      <c r="G99" s="35" t="s">
        <v>352</v>
      </c>
      <c r="H99" s="52">
        <v>0.3463657407407407</v>
      </c>
      <c r="I99" s="36">
        <v>5.0</v>
      </c>
      <c r="J99" s="37">
        <v>10.0</v>
      </c>
      <c r="K99" s="35" t="s">
        <v>353</v>
      </c>
    </row>
    <row r="100" ht="15.75" customHeight="1">
      <c r="A100" s="40">
        <v>46185.0</v>
      </c>
      <c r="B100" s="35" t="s">
        <v>92</v>
      </c>
      <c r="C100" s="35" t="s">
        <v>93</v>
      </c>
      <c r="D100" s="36">
        <v>10.0</v>
      </c>
      <c r="E100" s="35" t="s">
        <v>94</v>
      </c>
      <c r="F100" s="35" t="s">
        <v>66</v>
      </c>
      <c r="G100" s="35" t="s">
        <v>352</v>
      </c>
      <c r="H100" s="52">
        <v>0.35119212962962965</v>
      </c>
      <c r="I100" s="36">
        <v>4.0</v>
      </c>
      <c r="J100" s="37">
        <v>10.0</v>
      </c>
      <c r="K100" s="35" t="s">
        <v>353</v>
      </c>
    </row>
    <row r="101" ht="15.75" customHeight="1">
      <c r="A101" s="40">
        <v>46185.0</v>
      </c>
      <c r="B101" s="35" t="s">
        <v>243</v>
      </c>
      <c r="C101" s="35" t="s">
        <v>244</v>
      </c>
      <c r="D101" s="36">
        <v>10.0</v>
      </c>
      <c r="E101" s="35" t="s">
        <v>94</v>
      </c>
      <c r="F101" s="35" t="s">
        <v>66</v>
      </c>
      <c r="G101" s="35" t="s">
        <v>352</v>
      </c>
      <c r="H101" s="52">
        <v>0.3544097222222222</v>
      </c>
      <c r="I101" s="36">
        <v>5.0</v>
      </c>
      <c r="J101" s="37">
        <v>10.0</v>
      </c>
      <c r="K101" s="35" t="s">
        <v>353</v>
      </c>
    </row>
    <row r="102" ht="15.75" customHeight="1">
      <c r="A102" s="40">
        <v>46185.0</v>
      </c>
      <c r="B102" s="35" t="s">
        <v>253</v>
      </c>
      <c r="C102" s="35" t="s">
        <v>254</v>
      </c>
      <c r="D102" s="36">
        <v>10.0</v>
      </c>
      <c r="E102" s="35" t="s">
        <v>94</v>
      </c>
      <c r="F102" s="35" t="s">
        <v>66</v>
      </c>
      <c r="G102" s="35" t="s">
        <v>352</v>
      </c>
      <c r="H102" s="52">
        <v>0.3549074074074074</v>
      </c>
      <c r="I102" s="36">
        <v>5.0</v>
      </c>
      <c r="J102" s="37">
        <v>10.0</v>
      </c>
      <c r="K102" s="35" t="s">
        <v>353</v>
      </c>
    </row>
    <row r="103" ht="15.75" customHeight="1">
      <c r="A103" s="44"/>
      <c r="B103" s="41"/>
      <c r="C103" s="41"/>
      <c r="D103" s="41"/>
      <c r="E103" s="41"/>
      <c r="F103" s="41"/>
      <c r="G103" s="41"/>
      <c r="H103" s="41"/>
      <c r="I103" s="41"/>
      <c r="J103" s="46"/>
      <c r="K103" s="41"/>
    </row>
    <row r="104" ht="15.75" customHeight="1">
      <c r="A104" s="44"/>
      <c r="B104" s="41"/>
      <c r="C104" s="41"/>
      <c r="D104" s="41"/>
      <c r="E104" s="41"/>
      <c r="F104" s="41"/>
      <c r="G104" s="41"/>
      <c r="H104" s="41"/>
      <c r="I104" s="41"/>
      <c r="J104" s="46"/>
      <c r="K104" s="41"/>
    </row>
    <row r="105" ht="15.75" customHeight="1">
      <c r="A105" s="44"/>
      <c r="B105" s="41"/>
      <c r="C105" s="41"/>
      <c r="D105" s="41"/>
      <c r="E105" s="41"/>
      <c r="F105" s="41"/>
      <c r="G105" s="41"/>
      <c r="H105" s="41"/>
      <c r="I105" s="41"/>
      <c r="J105" s="46"/>
      <c r="K105" s="41"/>
    </row>
    <row r="106" ht="15.75" customHeight="1">
      <c r="A106" s="44"/>
      <c r="B106" s="41"/>
      <c r="C106" s="41"/>
      <c r="D106" s="41"/>
      <c r="E106" s="41"/>
      <c r="F106" s="41"/>
      <c r="G106" s="41"/>
      <c r="H106" s="41"/>
      <c r="I106" s="41"/>
      <c r="J106" s="46"/>
      <c r="K106" s="41"/>
    </row>
    <row r="107" ht="15.75" customHeight="1">
      <c r="A107" s="44"/>
      <c r="B107" s="41"/>
      <c r="C107" s="41"/>
      <c r="D107" s="41"/>
      <c r="E107" s="41"/>
      <c r="F107" s="41"/>
      <c r="G107" s="41"/>
      <c r="H107" s="41"/>
      <c r="I107" s="41"/>
      <c r="J107" s="46"/>
      <c r="K107" s="41"/>
    </row>
    <row r="108" ht="15.75" customHeight="1">
      <c r="A108" s="44"/>
      <c r="B108" s="41"/>
      <c r="C108" s="41"/>
      <c r="D108" s="41"/>
      <c r="E108" s="41"/>
      <c r="F108" s="41"/>
      <c r="G108" s="41"/>
      <c r="H108" s="41"/>
      <c r="I108" s="41"/>
      <c r="J108" s="46"/>
      <c r="K108" s="41"/>
    </row>
    <row r="109" ht="15.75" customHeight="1">
      <c r="A109" s="44"/>
      <c r="B109" s="41"/>
      <c r="C109" s="41"/>
      <c r="D109" s="41"/>
      <c r="E109" s="41"/>
      <c r="F109" s="41"/>
      <c r="G109" s="41"/>
      <c r="H109" s="41"/>
      <c r="I109" s="41"/>
      <c r="J109" s="46"/>
      <c r="K109" s="41"/>
    </row>
    <row r="110" ht="15.75" customHeight="1">
      <c r="A110" s="44"/>
      <c r="B110" s="41"/>
      <c r="C110" s="41"/>
      <c r="D110" s="41"/>
      <c r="E110" s="41"/>
      <c r="F110" s="41"/>
      <c r="G110" s="41"/>
      <c r="H110" s="41"/>
      <c r="I110" s="41"/>
      <c r="J110" s="46"/>
      <c r="K110" s="41"/>
    </row>
    <row r="111" ht="15.75" customHeight="1">
      <c r="A111" s="44"/>
      <c r="B111" s="41"/>
      <c r="C111" s="41"/>
      <c r="D111" s="41"/>
      <c r="E111" s="41"/>
      <c r="F111" s="41"/>
      <c r="G111" s="41"/>
      <c r="H111" s="41"/>
      <c r="I111" s="41"/>
      <c r="J111" s="46"/>
      <c r="K111" s="41"/>
    </row>
    <row r="112" ht="15.75" customHeight="1">
      <c r="A112" s="44"/>
      <c r="B112" s="41"/>
      <c r="C112" s="41"/>
      <c r="D112" s="41"/>
      <c r="E112" s="41"/>
      <c r="F112" s="41"/>
      <c r="G112" s="41"/>
      <c r="H112" s="41"/>
      <c r="I112" s="41"/>
      <c r="J112" s="46"/>
      <c r="K112" s="41"/>
    </row>
  </sheetData>
  <mergeCells count="1">
    <mergeCell ref="A1:K1"/>
  </mergeCells>
  <conditionalFormatting sqref="G4:G112">
    <cfRule type="expression" dxfId="5" priority="1">
      <formula>$G4="Late"</formula>
    </cfRule>
  </conditionalFormatting>
  <conditionalFormatting sqref="G4:G112">
    <cfRule type="expression" dxfId="6" priority="2">
      <formula>$G4="Present"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0"/>
    <col customWidth="1" min="3" max="3" width="12.0"/>
    <col customWidth="1" min="4" max="4" width="10.0"/>
    <col customWidth="1" min="5" max="5" width="12.0"/>
    <col customWidth="1" min="6" max="6" width="16.0"/>
    <col customWidth="1" min="7" max="7" width="45.0"/>
  </cols>
  <sheetData>
    <row r="1" ht="30.0" customHeight="1">
      <c r="A1" s="1" t="s">
        <v>366</v>
      </c>
    </row>
    <row r="2">
      <c r="C2" s="32"/>
    </row>
    <row r="3">
      <c r="A3" s="33" t="s">
        <v>67</v>
      </c>
      <c r="B3" s="33" t="s">
        <v>68</v>
      </c>
      <c r="C3" s="34" t="s">
        <v>367</v>
      </c>
      <c r="D3" s="33" t="s">
        <v>236</v>
      </c>
      <c r="E3" s="33" t="s">
        <v>368</v>
      </c>
      <c r="F3" s="33" t="s">
        <v>69</v>
      </c>
      <c r="G3" s="33" t="s">
        <v>369</v>
      </c>
    </row>
    <row r="4">
      <c r="A4" s="35">
        <v>5896.0</v>
      </c>
      <c r="B4" s="41" t="s">
        <v>370</v>
      </c>
      <c r="C4" s="46">
        <v>50.0</v>
      </c>
      <c r="D4" s="35" t="s">
        <v>160</v>
      </c>
      <c r="E4" s="36">
        <v>0.0</v>
      </c>
      <c r="F4" s="41" t="s">
        <v>371</v>
      </c>
      <c r="G4" s="35" t="s">
        <v>372</v>
      </c>
    </row>
    <row r="5">
      <c r="A5" s="35">
        <v>5587.0</v>
      </c>
      <c r="B5" s="35" t="s">
        <v>73</v>
      </c>
      <c r="C5" s="37">
        <v>200.0</v>
      </c>
      <c r="D5" s="35" t="s">
        <v>160</v>
      </c>
      <c r="E5" s="36">
        <v>0.0</v>
      </c>
      <c r="F5" s="35" t="s">
        <v>74</v>
      </c>
      <c r="G5" s="60" t="s">
        <v>373</v>
      </c>
    </row>
    <row r="6">
      <c r="A6" s="35">
        <v>3965.0</v>
      </c>
      <c r="B6" s="35" t="s">
        <v>91</v>
      </c>
      <c r="C6" s="37">
        <v>100.0</v>
      </c>
      <c r="D6" s="35" t="s">
        <v>160</v>
      </c>
      <c r="E6" s="35">
        <v>8.0</v>
      </c>
      <c r="F6" s="35" t="s">
        <v>82</v>
      </c>
      <c r="G6" s="60" t="s">
        <v>374</v>
      </c>
    </row>
    <row r="7">
      <c r="A7" s="35">
        <v>9965.0</v>
      </c>
      <c r="B7" s="35" t="s">
        <v>81</v>
      </c>
      <c r="C7" s="37">
        <v>100.0</v>
      </c>
      <c r="D7" s="35" t="s">
        <v>160</v>
      </c>
      <c r="E7" s="35">
        <v>0.0</v>
      </c>
      <c r="F7" s="35" t="s">
        <v>82</v>
      </c>
      <c r="G7" s="60" t="s">
        <v>375</v>
      </c>
    </row>
    <row r="8">
      <c r="A8" s="35">
        <v>2241.0</v>
      </c>
      <c r="B8" s="35" t="s">
        <v>341</v>
      </c>
      <c r="C8" s="37">
        <v>100.0</v>
      </c>
      <c r="D8" s="35" t="s">
        <v>160</v>
      </c>
      <c r="E8" s="35">
        <v>0.0</v>
      </c>
      <c r="F8" s="35" t="s">
        <v>102</v>
      </c>
      <c r="G8" s="60" t="s">
        <v>376</v>
      </c>
    </row>
    <row r="9">
      <c r="A9" s="35">
        <v>3487.0</v>
      </c>
      <c r="B9" s="35" t="s">
        <v>344</v>
      </c>
      <c r="C9" s="37">
        <v>100.0</v>
      </c>
      <c r="D9" s="35" t="s">
        <v>160</v>
      </c>
      <c r="E9" s="35">
        <v>0.0</v>
      </c>
      <c r="F9" s="35" t="s">
        <v>102</v>
      </c>
      <c r="G9" s="60" t="s">
        <v>377</v>
      </c>
    </row>
    <row r="10">
      <c r="A10" s="35">
        <v>6655.0</v>
      </c>
      <c r="B10" s="35" t="s">
        <v>90</v>
      </c>
      <c r="C10" s="37">
        <v>100.0</v>
      </c>
      <c r="D10" s="35" t="s">
        <v>160</v>
      </c>
      <c r="E10" s="35">
        <v>2.0</v>
      </c>
      <c r="F10" s="35" t="s">
        <v>74</v>
      </c>
      <c r="G10" s="60" t="s">
        <v>378</v>
      </c>
    </row>
    <row r="11">
      <c r="A11" s="35">
        <v>7898.0</v>
      </c>
      <c r="B11" s="35" t="s">
        <v>101</v>
      </c>
      <c r="C11" s="37">
        <v>100.0</v>
      </c>
      <c r="D11" s="35" t="s">
        <v>160</v>
      </c>
      <c r="E11" s="35">
        <v>4.0</v>
      </c>
      <c r="F11" s="35" t="s">
        <v>102</v>
      </c>
      <c r="G11" s="60" t="s">
        <v>379</v>
      </c>
    </row>
    <row r="12">
      <c r="A12" s="35">
        <v>3313.0</v>
      </c>
      <c r="B12" s="51" t="s">
        <v>88</v>
      </c>
      <c r="C12" s="37">
        <v>100.0</v>
      </c>
      <c r="D12" s="35" t="s">
        <v>160</v>
      </c>
      <c r="E12" s="35">
        <v>3.0</v>
      </c>
      <c r="F12" s="35" t="s">
        <v>74</v>
      </c>
      <c r="G12" s="60" t="s">
        <v>380</v>
      </c>
    </row>
    <row r="13">
      <c r="A13" s="35">
        <v>4478.0</v>
      </c>
      <c r="B13" s="35" t="s">
        <v>381</v>
      </c>
      <c r="C13" s="37">
        <v>100.0</v>
      </c>
      <c r="D13" s="35" t="s">
        <v>160</v>
      </c>
      <c r="E13" s="35">
        <v>10.0</v>
      </c>
      <c r="F13" s="41" t="s">
        <v>74</v>
      </c>
      <c r="G13" s="60" t="s">
        <v>380</v>
      </c>
    </row>
    <row r="14">
      <c r="A14" s="35">
        <v>3649.0</v>
      </c>
      <c r="B14" s="35" t="s">
        <v>382</v>
      </c>
      <c r="C14" s="37">
        <v>100.0</v>
      </c>
      <c r="D14" s="35" t="s">
        <v>160</v>
      </c>
      <c r="E14" s="35">
        <v>10.0</v>
      </c>
      <c r="F14" s="41" t="s">
        <v>74</v>
      </c>
      <c r="G14" s="60"/>
    </row>
    <row r="15">
      <c r="A15" s="35">
        <v>7589.0</v>
      </c>
      <c r="B15" s="35" t="s">
        <v>383</v>
      </c>
      <c r="C15" s="37">
        <v>100.0</v>
      </c>
      <c r="D15" s="35" t="s">
        <v>160</v>
      </c>
      <c r="E15" s="35">
        <v>10.0</v>
      </c>
      <c r="F15" s="41" t="s">
        <v>74</v>
      </c>
      <c r="G15" s="60"/>
    </row>
    <row r="16">
      <c r="A16" s="35">
        <v>3345.0</v>
      </c>
      <c r="B16" s="35" t="s">
        <v>384</v>
      </c>
      <c r="C16" s="37">
        <v>100.0</v>
      </c>
      <c r="D16" s="35" t="s">
        <v>160</v>
      </c>
      <c r="E16" s="35">
        <v>10.0</v>
      </c>
      <c r="F16" s="41" t="s">
        <v>74</v>
      </c>
      <c r="G16" s="60"/>
    </row>
    <row r="17">
      <c r="A17" s="35">
        <v>7734.0</v>
      </c>
      <c r="B17" s="35" t="s">
        <v>95</v>
      </c>
      <c r="C17" s="37">
        <v>100.0</v>
      </c>
      <c r="D17" s="35" t="s">
        <v>163</v>
      </c>
      <c r="E17" s="35">
        <v>76.0</v>
      </c>
      <c r="F17" s="35" t="s">
        <v>74</v>
      </c>
      <c r="G17" s="60" t="s">
        <v>385</v>
      </c>
    </row>
  </sheetData>
  <mergeCells count="1">
    <mergeCell ref="A1:G1"/>
  </mergeCells>
  <dataValidations>
    <dataValidation type="list" allowBlank="1" sqref="D4:D17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0"/>
    <col customWidth="1" min="3" max="3" width="12.0"/>
    <col customWidth="1" min="4" max="4" width="10.0"/>
    <col customWidth="1" min="5" max="5" width="12.0"/>
    <col customWidth="1" min="6" max="6" width="18.25"/>
    <col customWidth="1" min="7" max="9" width="45.0"/>
  </cols>
  <sheetData>
    <row r="1" ht="30.0" customHeight="1">
      <c r="A1" s="61" t="s">
        <v>386</v>
      </c>
    </row>
    <row r="2">
      <c r="C2" s="62"/>
      <c r="F2" s="63"/>
      <c r="G2" s="64"/>
    </row>
    <row r="3">
      <c r="A3" s="57" t="s">
        <v>63</v>
      </c>
      <c r="B3" s="57" t="s">
        <v>64</v>
      </c>
      <c r="C3" s="57" t="s">
        <v>67</v>
      </c>
      <c r="D3" s="57" t="s">
        <v>68</v>
      </c>
      <c r="E3" s="57" t="s">
        <v>69</v>
      </c>
      <c r="F3" s="65" t="s">
        <v>387</v>
      </c>
      <c r="G3" s="66" t="s">
        <v>388</v>
      </c>
      <c r="H3" s="57" t="s">
        <v>389</v>
      </c>
      <c r="I3" s="57" t="s">
        <v>237</v>
      </c>
    </row>
    <row r="4">
      <c r="A4" s="67" t="s">
        <v>251</v>
      </c>
      <c r="B4" s="67" t="s">
        <v>252</v>
      </c>
      <c r="C4" s="67">
        <v>9965.0</v>
      </c>
      <c r="D4" s="67" t="s">
        <v>81</v>
      </c>
      <c r="E4" s="67" t="s">
        <v>82</v>
      </c>
      <c r="F4" s="68">
        <v>1.0</v>
      </c>
      <c r="G4" s="69">
        <v>100.0</v>
      </c>
      <c r="H4" s="70">
        <v>46183.49633101852</v>
      </c>
      <c r="I4" s="70">
        <v>46183.49633101852</v>
      </c>
    </row>
    <row r="5">
      <c r="A5" s="67">
        <v>1234.0</v>
      </c>
      <c r="B5" s="67" t="s">
        <v>72</v>
      </c>
      <c r="C5" s="67">
        <v>5587.0</v>
      </c>
      <c r="D5" s="67" t="s">
        <v>73</v>
      </c>
      <c r="E5" s="67" t="s">
        <v>74</v>
      </c>
      <c r="F5" s="68">
        <v>0.0</v>
      </c>
      <c r="G5" s="69">
        <v>600.0</v>
      </c>
      <c r="H5" s="70">
        <v>46183.58010416667</v>
      </c>
      <c r="I5" s="70">
        <v>46183.64454861111</v>
      </c>
    </row>
    <row r="6">
      <c r="A6" s="67">
        <v>7302.0</v>
      </c>
      <c r="B6" s="67" t="s">
        <v>278</v>
      </c>
      <c r="C6" s="67">
        <v>5587.0</v>
      </c>
      <c r="D6" s="67" t="s">
        <v>73</v>
      </c>
      <c r="E6" s="67" t="s">
        <v>74</v>
      </c>
      <c r="F6" s="68">
        <v>4.0</v>
      </c>
      <c r="G6" s="69">
        <v>800.0</v>
      </c>
      <c r="H6" s="70">
        <v>46183.55645833333</v>
      </c>
      <c r="I6" s="70">
        <v>46183.55645833333</v>
      </c>
    </row>
    <row r="7">
      <c r="A7" s="67">
        <v>3466.0</v>
      </c>
      <c r="B7" s="67" t="s">
        <v>79</v>
      </c>
      <c r="C7" s="67">
        <v>9965.0</v>
      </c>
      <c r="D7" s="67" t="s">
        <v>81</v>
      </c>
      <c r="E7" s="67" t="s">
        <v>82</v>
      </c>
      <c r="F7" s="68">
        <v>0.0</v>
      </c>
      <c r="G7" s="69">
        <v>100.0</v>
      </c>
      <c r="H7" s="70">
        <v>46183.55420138889</v>
      </c>
      <c r="I7" s="70">
        <v>46183.57497685185</v>
      </c>
    </row>
    <row r="8">
      <c r="A8" s="67">
        <v>7302.0</v>
      </c>
      <c r="B8" s="67" t="s">
        <v>278</v>
      </c>
      <c r="C8" s="67">
        <v>2241.0</v>
      </c>
      <c r="D8" s="67" t="s">
        <v>341</v>
      </c>
      <c r="E8" s="67" t="s">
        <v>102</v>
      </c>
      <c r="F8" s="68">
        <v>1.0</v>
      </c>
      <c r="G8" s="69">
        <v>100.0</v>
      </c>
      <c r="H8" s="70">
        <v>46183.55446759259</v>
      </c>
      <c r="I8" s="70">
        <v>46183.55446759259</v>
      </c>
    </row>
    <row r="9">
      <c r="A9" s="67">
        <v>8300.0</v>
      </c>
      <c r="B9" s="67" t="s">
        <v>283</v>
      </c>
      <c r="C9" s="67">
        <v>3313.0</v>
      </c>
      <c r="D9" s="71" t="s">
        <v>88</v>
      </c>
      <c r="E9" s="67" t="s">
        <v>74</v>
      </c>
      <c r="F9" s="68">
        <v>2.0</v>
      </c>
      <c r="G9" s="69">
        <v>200.0</v>
      </c>
      <c r="H9" s="70">
        <v>46183.5553125</v>
      </c>
      <c r="I9" s="70">
        <v>46183.5553125</v>
      </c>
    </row>
    <row r="10" ht="15.75" customHeight="1">
      <c r="A10" s="67">
        <v>7302.0</v>
      </c>
      <c r="B10" s="67" t="s">
        <v>278</v>
      </c>
      <c r="C10" s="67">
        <v>6655.0</v>
      </c>
      <c r="D10" s="67" t="s">
        <v>90</v>
      </c>
      <c r="E10" s="67" t="s">
        <v>74</v>
      </c>
      <c r="F10" s="68">
        <v>1.0</v>
      </c>
      <c r="G10" s="69">
        <v>100.0</v>
      </c>
      <c r="H10" s="70">
        <v>46183.5568287037</v>
      </c>
      <c r="I10" s="70">
        <v>46183.5568287037</v>
      </c>
    </row>
    <row r="11" ht="15.75" customHeight="1">
      <c r="A11" s="67">
        <v>4647.0</v>
      </c>
      <c r="B11" s="67" t="s">
        <v>84</v>
      </c>
      <c r="C11" s="67">
        <v>5587.0</v>
      </c>
      <c r="D11" s="67" t="s">
        <v>73</v>
      </c>
      <c r="E11" s="67" t="s">
        <v>74</v>
      </c>
      <c r="F11" s="68">
        <v>0.0</v>
      </c>
      <c r="G11" s="69">
        <v>200.0</v>
      </c>
      <c r="H11" s="70">
        <v>46183.587129629625</v>
      </c>
      <c r="I11" s="70">
        <v>46183.58868055556</v>
      </c>
    </row>
    <row r="12" ht="15.75" customHeight="1">
      <c r="A12" s="67">
        <v>4647.0</v>
      </c>
      <c r="B12" s="67" t="s">
        <v>84</v>
      </c>
      <c r="C12" s="67">
        <v>2241.0</v>
      </c>
      <c r="D12" s="67" t="s">
        <v>341</v>
      </c>
      <c r="E12" s="67" t="s">
        <v>102</v>
      </c>
      <c r="F12" s="68">
        <v>2.0</v>
      </c>
      <c r="G12" s="69">
        <v>200.0</v>
      </c>
      <c r="H12" s="70">
        <v>46183.58738425926</v>
      </c>
      <c r="I12" s="70">
        <v>46183.58738425926</v>
      </c>
    </row>
    <row r="13" ht="15.75" customHeight="1">
      <c r="A13" s="67">
        <v>4647.0</v>
      </c>
      <c r="B13" s="67" t="s">
        <v>84</v>
      </c>
      <c r="C13" s="67">
        <v>3487.0</v>
      </c>
      <c r="D13" s="67" t="s">
        <v>344</v>
      </c>
      <c r="E13" s="67" t="s">
        <v>102</v>
      </c>
      <c r="F13" s="68">
        <v>5.0</v>
      </c>
      <c r="G13" s="69">
        <v>500.0</v>
      </c>
      <c r="H13" s="70">
        <v>46183.58782407407</v>
      </c>
      <c r="I13" s="70">
        <v>46183.58782407407</v>
      </c>
    </row>
    <row r="14" ht="15.75" customHeight="1">
      <c r="A14" s="67">
        <v>7920.0</v>
      </c>
      <c r="B14" s="67" t="s">
        <v>310</v>
      </c>
      <c r="C14" s="67">
        <v>6655.0</v>
      </c>
      <c r="D14" s="67" t="s">
        <v>90</v>
      </c>
      <c r="E14" s="67" t="s">
        <v>74</v>
      </c>
      <c r="F14" s="68">
        <v>1.0</v>
      </c>
      <c r="G14" s="69">
        <v>100.0</v>
      </c>
      <c r="H14" s="70">
        <v>46183.58793981482</v>
      </c>
      <c r="I14" s="70">
        <v>46183.58793981482</v>
      </c>
    </row>
    <row r="15" ht="15.75" customHeight="1">
      <c r="A15" s="67">
        <v>2233.0</v>
      </c>
      <c r="B15" s="67" t="s">
        <v>86</v>
      </c>
      <c r="C15" s="67">
        <v>3313.0</v>
      </c>
      <c r="D15" s="71" t="s">
        <v>88</v>
      </c>
      <c r="E15" s="67" t="s">
        <v>74</v>
      </c>
      <c r="F15" s="68">
        <v>4.0</v>
      </c>
      <c r="G15" s="69">
        <v>500.0</v>
      </c>
      <c r="H15" s="70">
        <v>46183.6499537037</v>
      </c>
      <c r="I15" s="70">
        <v>46183.6503125</v>
      </c>
    </row>
    <row r="16" ht="15.75" customHeight="1">
      <c r="A16" s="67">
        <v>1234.0</v>
      </c>
      <c r="B16" s="67" t="s">
        <v>72</v>
      </c>
      <c r="C16" s="67">
        <v>6655.0</v>
      </c>
      <c r="D16" s="67" t="s">
        <v>90</v>
      </c>
      <c r="E16" s="67" t="s">
        <v>74</v>
      </c>
      <c r="F16" s="68">
        <v>0.0</v>
      </c>
      <c r="G16" s="69">
        <v>100.0</v>
      </c>
      <c r="H16" s="70">
        <v>46183.65277777778</v>
      </c>
      <c r="I16" s="70">
        <v>46183.654131944444</v>
      </c>
    </row>
    <row r="17" ht="15.75" customHeight="1">
      <c r="A17" s="67">
        <v>1234.0</v>
      </c>
      <c r="B17" s="67" t="s">
        <v>72</v>
      </c>
      <c r="C17" s="67">
        <v>3965.0</v>
      </c>
      <c r="D17" s="67" t="s">
        <v>91</v>
      </c>
      <c r="E17" s="67" t="s">
        <v>82</v>
      </c>
      <c r="F17" s="68">
        <v>0.0</v>
      </c>
      <c r="G17" s="69">
        <v>200.0</v>
      </c>
      <c r="H17" s="70">
        <v>46183.66354166667</v>
      </c>
      <c r="I17" s="70">
        <v>46183.870787037034</v>
      </c>
    </row>
    <row r="18" ht="15.75" customHeight="1">
      <c r="A18" s="67">
        <v>1234.0</v>
      </c>
      <c r="B18" s="67" t="s">
        <v>72</v>
      </c>
      <c r="C18" s="67">
        <v>7898.0</v>
      </c>
      <c r="D18" s="67" t="s">
        <v>101</v>
      </c>
      <c r="E18" s="67" t="s">
        <v>102</v>
      </c>
      <c r="F18" s="68">
        <v>0.0</v>
      </c>
      <c r="G18" s="69">
        <v>100.0</v>
      </c>
      <c r="H18" s="70">
        <v>46183.662881944445</v>
      </c>
      <c r="I18" s="70">
        <v>46184.64734953704</v>
      </c>
    </row>
    <row r="19" ht="15.75" customHeight="1">
      <c r="A19" s="67" t="s">
        <v>92</v>
      </c>
      <c r="B19" s="67" t="s">
        <v>93</v>
      </c>
      <c r="C19" s="67">
        <v>7734.0</v>
      </c>
      <c r="D19" s="67" t="s">
        <v>95</v>
      </c>
      <c r="E19" s="67" t="s">
        <v>74</v>
      </c>
      <c r="F19" s="68">
        <v>0.0</v>
      </c>
      <c r="G19" s="69">
        <v>600.0</v>
      </c>
      <c r="H19" s="70">
        <v>46184.44496527778</v>
      </c>
      <c r="I19" s="70">
        <v>46184.44567129629</v>
      </c>
    </row>
    <row r="20" ht="15.75" customHeight="1">
      <c r="A20" s="67" t="s">
        <v>97</v>
      </c>
      <c r="B20" s="67" t="s">
        <v>98</v>
      </c>
      <c r="C20" s="67">
        <v>7734.0</v>
      </c>
      <c r="D20" s="67" t="s">
        <v>95</v>
      </c>
      <c r="E20" s="67" t="s">
        <v>74</v>
      </c>
      <c r="F20" s="68">
        <v>0.0</v>
      </c>
      <c r="G20" s="69">
        <v>300.0</v>
      </c>
      <c r="H20" s="70">
        <v>46184.44913194445</v>
      </c>
      <c r="I20" s="70">
        <v>46184.45030092593</v>
      </c>
    </row>
    <row r="21" ht="15.75" customHeight="1">
      <c r="A21" s="67">
        <v>6665.0</v>
      </c>
      <c r="B21" s="67" t="s">
        <v>272</v>
      </c>
      <c r="C21" s="67">
        <v>7734.0</v>
      </c>
      <c r="D21" s="67" t="s">
        <v>95</v>
      </c>
      <c r="E21" s="67" t="s">
        <v>74</v>
      </c>
      <c r="F21" s="68">
        <v>1.0</v>
      </c>
      <c r="G21" s="69">
        <v>100.0</v>
      </c>
      <c r="H21" s="70">
        <v>46184.530590277776</v>
      </c>
      <c r="I21" s="70">
        <v>46184.530590277776</v>
      </c>
    </row>
    <row r="22" ht="15.75" customHeight="1">
      <c r="A22" s="67" t="s">
        <v>103</v>
      </c>
      <c r="B22" s="67" t="s">
        <v>104</v>
      </c>
      <c r="C22" s="67">
        <v>7734.0</v>
      </c>
      <c r="D22" s="67" t="s">
        <v>95</v>
      </c>
      <c r="E22" s="67" t="s">
        <v>74</v>
      </c>
      <c r="F22" s="68">
        <v>0.0</v>
      </c>
      <c r="G22" s="69">
        <v>1000.0</v>
      </c>
      <c r="H22" s="70">
        <v>46184.606087962966</v>
      </c>
      <c r="I22" s="70">
        <v>46185.381689814814</v>
      </c>
    </row>
    <row r="23" ht="15.75" customHeight="1">
      <c r="A23" s="67">
        <v>1234.0</v>
      </c>
      <c r="B23" s="67" t="s">
        <v>72</v>
      </c>
      <c r="C23" s="67">
        <v>7734.0</v>
      </c>
      <c r="D23" s="67" t="s">
        <v>95</v>
      </c>
      <c r="E23" s="67" t="s">
        <v>74</v>
      </c>
      <c r="F23" s="68">
        <v>2.0</v>
      </c>
      <c r="G23" s="69">
        <v>400.0</v>
      </c>
      <c r="H23" s="70">
        <v>46186.37940972222</v>
      </c>
      <c r="I23" s="70">
        <v>46186.37940972222</v>
      </c>
    </row>
    <row r="24" ht="15.75" customHeight="1">
      <c r="A24" s="72"/>
      <c r="B24" s="72"/>
      <c r="C24" s="73"/>
      <c r="D24" s="72"/>
      <c r="E24" s="72"/>
      <c r="F24" s="74"/>
      <c r="G24" s="75"/>
      <c r="H24" s="72"/>
      <c r="I24" s="72"/>
    </row>
    <row r="25" ht="15.75" customHeight="1">
      <c r="A25" s="72"/>
      <c r="B25" s="72"/>
      <c r="C25" s="73"/>
      <c r="D25" s="72"/>
      <c r="E25" s="72"/>
      <c r="F25" s="74"/>
      <c r="G25" s="75"/>
      <c r="H25" s="72"/>
      <c r="I25" s="72"/>
    </row>
    <row r="26" ht="15.75" customHeight="1">
      <c r="A26" s="72"/>
      <c r="B26" s="72"/>
      <c r="C26" s="73"/>
      <c r="D26" s="72"/>
      <c r="E26" s="72"/>
      <c r="F26" s="74"/>
      <c r="G26" s="75"/>
      <c r="H26" s="72"/>
      <c r="I26" s="72"/>
    </row>
    <row r="27" ht="15.75" customHeight="1">
      <c r="A27" s="72"/>
      <c r="B27" s="72"/>
      <c r="C27" s="73"/>
      <c r="D27" s="72"/>
      <c r="E27" s="72"/>
      <c r="F27" s="74"/>
      <c r="G27" s="75"/>
      <c r="H27" s="72"/>
      <c r="I27" s="72"/>
    </row>
    <row r="28" ht="15.75" customHeight="1">
      <c r="A28" s="72"/>
      <c r="B28" s="72"/>
      <c r="C28" s="73"/>
      <c r="D28" s="72"/>
      <c r="E28" s="72"/>
      <c r="F28" s="74"/>
      <c r="G28" s="75"/>
      <c r="H28" s="72"/>
      <c r="I28" s="72"/>
    </row>
    <row r="29" ht="15.75" customHeight="1">
      <c r="A29" s="72"/>
      <c r="B29" s="72"/>
      <c r="C29" s="73"/>
      <c r="D29" s="72"/>
      <c r="E29" s="72"/>
      <c r="F29" s="74"/>
      <c r="G29" s="75"/>
      <c r="H29" s="72"/>
      <c r="I29" s="72"/>
    </row>
    <row r="30" ht="15.75" customHeight="1">
      <c r="A30" s="72"/>
      <c r="B30" s="72"/>
      <c r="C30" s="73"/>
      <c r="D30" s="72"/>
      <c r="E30" s="72"/>
      <c r="F30" s="74"/>
      <c r="G30" s="75"/>
      <c r="H30" s="72"/>
      <c r="I30" s="72"/>
    </row>
    <row r="31" ht="15.75" customHeight="1">
      <c r="A31" s="72"/>
      <c r="B31" s="72"/>
      <c r="C31" s="73"/>
      <c r="D31" s="72"/>
      <c r="E31" s="72"/>
      <c r="F31" s="74"/>
      <c r="G31" s="75"/>
      <c r="H31" s="72"/>
      <c r="I31" s="72"/>
    </row>
    <row r="32" ht="15.75" customHeight="1">
      <c r="A32" s="72"/>
      <c r="B32" s="72"/>
      <c r="C32" s="73"/>
      <c r="D32" s="72"/>
      <c r="E32" s="72"/>
      <c r="F32" s="74"/>
      <c r="G32" s="75"/>
      <c r="H32" s="72"/>
      <c r="I32" s="72"/>
    </row>
    <row r="33" ht="15.75" customHeight="1">
      <c r="A33" s="72"/>
      <c r="B33" s="72"/>
      <c r="C33" s="73"/>
      <c r="D33" s="72"/>
      <c r="E33" s="72"/>
      <c r="F33" s="74"/>
      <c r="G33" s="75"/>
      <c r="H33" s="72"/>
      <c r="I33" s="72"/>
    </row>
    <row r="34" ht="15.75" customHeight="1">
      <c r="A34" s="72"/>
      <c r="B34" s="72"/>
      <c r="C34" s="73"/>
      <c r="D34" s="72"/>
      <c r="E34" s="72"/>
      <c r="F34" s="74"/>
      <c r="G34" s="75"/>
      <c r="H34" s="72"/>
      <c r="I34" s="72"/>
    </row>
    <row r="35" ht="15.75" customHeight="1">
      <c r="A35" s="72"/>
      <c r="B35" s="72"/>
      <c r="C35" s="73"/>
      <c r="D35" s="72"/>
      <c r="E35" s="72"/>
      <c r="F35" s="74"/>
      <c r="G35" s="75"/>
      <c r="H35" s="72"/>
      <c r="I35" s="72"/>
    </row>
    <row r="36" ht="15.75" customHeight="1">
      <c r="A36" s="72"/>
      <c r="B36" s="72"/>
      <c r="C36" s="73"/>
      <c r="D36" s="72"/>
      <c r="E36" s="72"/>
      <c r="F36" s="74"/>
      <c r="G36" s="75"/>
      <c r="H36" s="72"/>
      <c r="I36" s="72"/>
    </row>
    <row r="37" ht="15.75" customHeight="1">
      <c r="A37" s="72"/>
      <c r="B37" s="72"/>
      <c r="C37" s="73"/>
      <c r="D37" s="72"/>
      <c r="E37" s="72"/>
      <c r="F37" s="74"/>
      <c r="G37" s="75"/>
      <c r="H37" s="72"/>
      <c r="I37" s="72"/>
    </row>
    <row r="38" ht="15.75" customHeight="1">
      <c r="A38" s="72"/>
      <c r="B38" s="72"/>
      <c r="C38" s="73"/>
      <c r="D38" s="72"/>
      <c r="E38" s="72"/>
      <c r="F38" s="74"/>
      <c r="G38" s="75"/>
      <c r="H38" s="72"/>
      <c r="I38" s="72"/>
    </row>
    <row r="39" ht="15.75" customHeight="1">
      <c r="A39" s="72"/>
      <c r="B39" s="72"/>
      <c r="C39" s="73"/>
      <c r="D39" s="72"/>
      <c r="E39" s="72"/>
      <c r="F39" s="74"/>
      <c r="G39" s="75"/>
      <c r="H39" s="72"/>
      <c r="I39" s="72"/>
    </row>
    <row r="40" ht="15.75" customHeight="1">
      <c r="A40" s="72"/>
      <c r="B40" s="72"/>
      <c r="C40" s="73"/>
      <c r="D40" s="72"/>
      <c r="E40" s="72"/>
      <c r="F40" s="74"/>
      <c r="G40" s="75"/>
      <c r="H40" s="72"/>
      <c r="I40" s="72"/>
    </row>
    <row r="41" ht="15.75" customHeight="1">
      <c r="A41" s="72"/>
      <c r="B41" s="72"/>
      <c r="C41" s="73"/>
      <c r="D41" s="72"/>
      <c r="E41" s="72"/>
      <c r="F41" s="74"/>
      <c r="G41" s="75"/>
      <c r="H41" s="72"/>
      <c r="I41" s="72"/>
    </row>
    <row r="42" ht="15.75" customHeight="1">
      <c r="A42" s="72"/>
      <c r="B42" s="72"/>
      <c r="C42" s="73"/>
      <c r="D42" s="72"/>
      <c r="E42" s="72"/>
      <c r="F42" s="74"/>
      <c r="G42" s="75"/>
      <c r="H42" s="72"/>
      <c r="I42" s="72"/>
    </row>
    <row r="43" ht="15.75" customHeight="1">
      <c r="A43" s="72"/>
      <c r="B43" s="72"/>
      <c r="C43" s="73"/>
      <c r="D43" s="72"/>
      <c r="E43" s="72"/>
      <c r="F43" s="74"/>
      <c r="G43" s="75"/>
      <c r="H43" s="72"/>
      <c r="I43" s="72"/>
    </row>
    <row r="44" ht="15.75" customHeight="1">
      <c r="A44" s="72"/>
      <c r="B44" s="72"/>
      <c r="C44" s="73"/>
      <c r="D44" s="72"/>
      <c r="E44" s="72"/>
      <c r="F44" s="74"/>
      <c r="G44" s="75"/>
      <c r="H44" s="72"/>
      <c r="I44" s="72"/>
    </row>
    <row r="45" ht="15.75" customHeight="1">
      <c r="A45" s="72"/>
      <c r="B45" s="72"/>
      <c r="C45" s="73"/>
      <c r="D45" s="72"/>
      <c r="E45" s="72"/>
      <c r="F45" s="74"/>
      <c r="G45" s="75"/>
      <c r="H45" s="72"/>
      <c r="I45" s="72"/>
    </row>
    <row r="46" ht="15.75" customHeight="1">
      <c r="A46" s="72"/>
      <c r="B46" s="72"/>
      <c r="C46" s="73"/>
      <c r="D46" s="72"/>
      <c r="E46" s="72"/>
      <c r="F46" s="74"/>
      <c r="G46" s="75"/>
      <c r="H46" s="72"/>
      <c r="I46" s="72"/>
    </row>
    <row r="47" ht="15.75" customHeight="1">
      <c r="A47" s="72"/>
      <c r="B47" s="72"/>
      <c r="C47" s="73"/>
      <c r="D47" s="72"/>
      <c r="E47" s="72"/>
      <c r="F47" s="74"/>
      <c r="G47" s="75"/>
      <c r="H47" s="72"/>
      <c r="I47" s="72"/>
    </row>
    <row r="48" ht="15.75" customHeight="1">
      <c r="A48" s="72"/>
      <c r="B48" s="72"/>
      <c r="C48" s="73"/>
      <c r="D48" s="72"/>
      <c r="E48" s="72"/>
      <c r="F48" s="74"/>
      <c r="G48" s="75"/>
      <c r="H48" s="72"/>
      <c r="I48" s="72"/>
    </row>
    <row r="49" ht="15.75" customHeight="1">
      <c r="A49" s="72"/>
      <c r="B49" s="72"/>
      <c r="C49" s="73"/>
      <c r="D49" s="72"/>
      <c r="E49" s="72"/>
      <c r="F49" s="74"/>
      <c r="G49" s="75"/>
      <c r="H49" s="72"/>
      <c r="I49" s="72"/>
    </row>
    <row r="50" ht="15.75" customHeight="1">
      <c r="A50" s="72"/>
      <c r="B50" s="72"/>
      <c r="C50" s="73"/>
      <c r="D50" s="72"/>
      <c r="E50" s="72"/>
      <c r="F50" s="74"/>
      <c r="G50" s="75"/>
      <c r="H50" s="72"/>
      <c r="I50" s="72"/>
    </row>
    <row r="51" ht="15.75" customHeight="1">
      <c r="A51" s="72"/>
      <c r="B51" s="72"/>
      <c r="C51" s="73"/>
      <c r="D51" s="72"/>
      <c r="E51" s="72"/>
      <c r="F51" s="74"/>
      <c r="G51" s="75"/>
      <c r="H51" s="72"/>
      <c r="I51" s="72"/>
    </row>
    <row r="52" ht="15.75" customHeight="1">
      <c r="A52" s="72"/>
      <c r="B52" s="72"/>
      <c r="C52" s="73"/>
      <c r="D52" s="72"/>
      <c r="E52" s="72"/>
      <c r="F52" s="74"/>
      <c r="G52" s="75"/>
      <c r="H52" s="72"/>
      <c r="I52" s="72"/>
    </row>
    <row r="53" ht="15.75" customHeight="1">
      <c r="A53" s="72"/>
      <c r="B53" s="72"/>
      <c r="C53" s="73"/>
      <c r="D53" s="72"/>
      <c r="E53" s="72"/>
      <c r="F53" s="74"/>
      <c r="G53" s="75"/>
      <c r="H53" s="72"/>
      <c r="I53" s="72"/>
    </row>
    <row r="54" ht="15.75" customHeight="1">
      <c r="A54" s="72"/>
      <c r="B54" s="72"/>
      <c r="C54" s="73"/>
      <c r="D54" s="72"/>
      <c r="E54" s="72"/>
      <c r="F54" s="74"/>
      <c r="G54" s="75"/>
      <c r="H54" s="72"/>
      <c r="I54" s="72"/>
    </row>
    <row r="55" ht="15.75" customHeight="1">
      <c r="A55" s="72"/>
      <c r="B55" s="72"/>
      <c r="C55" s="73"/>
      <c r="D55" s="72"/>
      <c r="E55" s="72"/>
      <c r="F55" s="74"/>
      <c r="G55" s="75"/>
      <c r="H55" s="72"/>
      <c r="I55" s="72"/>
    </row>
    <row r="56" ht="15.75" customHeight="1">
      <c r="A56" s="72"/>
      <c r="B56" s="72"/>
      <c r="C56" s="73"/>
      <c r="D56" s="72"/>
      <c r="E56" s="72"/>
      <c r="F56" s="74"/>
      <c r="G56" s="75"/>
      <c r="H56" s="72"/>
      <c r="I56" s="72"/>
    </row>
    <row r="57" ht="15.75" customHeight="1">
      <c r="A57" s="72"/>
      <c r="B57" s="72"/>
      <c r="C57" s="73"/>
      <c r="D57" s="72"/>
      <c r="E57" s="72"/>
      <c r="F57" s="74"/>
      <c r="G57" s="75"/>
      <c r="H57" s="72"/>
      <c r="I57" s="72"/>
    </row>
    <row r="58" ht="15.75" customHeight="1">
      <c r="A58" s="72"/>
      <c r="B58" s="72"/>
      <c r="C58" s="73"/>
      <c r="D58" s="72"/>
      <c r="E58" s="72"/>
      <c r="F58" s="74"/>
      <c r="G58" s="75"/>
      <c r="H58" s="72"/>
      <c r="I58" s="72"/>
    </row>
    <row r="59" ht="15.75" customHeight="1">
      <c r="A59" s="72"/>
      <c r="B59" s="72"/>
      <c r="C59" s="73"/>
      <c r="D59" s="72"/>
      <c r="E59" s="72"/>
      <c r="F59" s="74"/>
      <c r="G59" s="75"/>
      <c r="H59" s="72"/>
      <c r="I59" s="72"/>
    </row>
    <row r="60" ht="15.75" customHeight="1">
      <c r="A60" s="72"/>
      <c r="B60" s="72"/>
      <c r="C60" s="73"/>
      <c r="D60" s="72"/>
      <c r="E60" s="72"/>
      <c r="F60" s="74"/>
      <c r="G60" s="75"/>
      <c r="H60" s="72"/>
      <c r="I60" s="72"/>
    </row>
    <row r="61" ht="15.75" customHeight="1">
      <c r="A61" s="72"/>
      <c r="B61" s="72"/>
      <c r="C61" s="73"/>
      <c r="D61" s="72"/>
      <c r="E61" s="72"/>
      <c r="F61" s="74"/>
      <c r="G61" s="75"/>
      <c r="H61" s="72"/>
      <c r="I61" s="72"/>
    </row>
    <row r="62" ht="15.75" customHeight="1">
      <c r="A62" s="72"/>
      <c r="B62" s="72"/>
      <c r="C62" s="73"/>
      <c r="D62" s="72"/>
      <c r="E62" s="72"/>
      <c r="F62" s="74"/>
      <c r="G62" s="75"/>
      <c r="H62" s="72"/>
      <c r="I62" s="72"/>
    </row>
    <row r="63" ht="15.75" customHeight="1">
      <c r="A63" s="72"/>
      <c r="B63" s="72"/>
      <c r="C63" s="73"/>
      <c r="D63" s="72"/>
      <c r="E63" s="72"/>
      <c r="F63" s="74"/>
      <c r="G63" s="75"/>
      <c r="H63" s="72"/>
      <c r="I63" s="72"/>
    </row>
    <row r="64" ht="15.75" customHeight="1">
      <c r="A64" s="72"/>
      <c r="B64" s="72"/>
      <c r="C64" s="73"/>
      <c r="D64" s="72"/>
      <c r="E64" s="72"/>
      <c r="F64" s="74"/>
      <c r="G64" s="75"/>
      <c r="H64" s="72"/>
      <c r="I64" s="72"/>
    </row>
    <row r="65" ht="15.75" customHeight="1">
      <c r="A65" s="72"/>
      <c r="B65" s="72"/>
      <c r="C65" s="73"/>
      <c r="D65" s="72"/>
      <c r="E65" s="72"/>
      <c r="F65" s="74"/>
      <c r="G65" s="75"/>
      <c r="H65" s="72"/>
      <c r="I65" s="72"/>
    </row>
    <row r="66" ht="15.75" customHeight="1">
      <c r="A66" s="72"/>
      <c r="B66" s="72"/>
      <c r="C66" s="73"/>
      <c r="D66" s="72"/>
      <c r="E66" s="72"/>
      <c r="F66" s="74"/>
      <c r="G66" s="75"/>
      <c r="H66" s="72"/>
      <c r="I66" s="72"/>
    </row>
    <row r="67" ht="15.75" customHeight="1">
      <c r="A67" s="72"/>
      <c r="B67" s="72"/>
      <c r="C67" s="73"/>
      <c r="D67" s="72"/>
      <c r="E67" s="72"/>
      <c r="F67" s="74"/>
      <c r="G67" s="75"/>
      <c r="H67" s="72"/>
      <c r="I67" s="72"/>
    </row>
    <row r="68" ht="15.75" customHeight="1">
      <c r="A68" s="72"/>
      <c r="B68" s="72"/>
      <c r="C68" s="73"/>
      <c r="D68" s="72"/>
      <c r="E68" s="72"/>
      <c r="F68" s="74"/>
      <c r="G68" s="75"/>
      <c r="H68" s="72"/>
      <c r="I68" s="72"/>
    </row>
    <row r="69" ht="15.75" customHeight="1">
      <c r="A69" s="72"/>
      <c r="B69" s="72"/>
      <c r="C69" s="73"/>
      <c r="D69" s="72"/>
      <c r="E69" s="72"/>
      <c r="F69" s="74"/>
      <c r="G69" s="75"/>
      <c r="H69" s="72"/>
      <c r="I69" s="72"/>
    </row>
    <row r="70" ht="15.75" customHeight="1">
      <c r="A70" s="72"/>
      <c r="B70" s="72"/>
      <c r="C70" s="73"/>
      <c r="D70" s="72"/>
      <c r="E70" s="72"/>
      <c r="F70" s="74"/>
      <c r="G70" s="75"/>
      <c r="H70" s="72"/>
      <c r="I70" s="72"/>
    </row>
    <row r="71" ht="15.75" customHeight="1">
      <c r="A71" s="72"/>
      <c r="B71" s="72"/>
      <c r="C71" s="73"/>
      <c r="D71" s="72"/>
      <c r="E71" s="72"/>
      <c r="F71" s="74"/>
      <c r="G71" s="75"/>
      <c r="H71" s="72"/>
      <c r="I71" s="72"/>
    </row>
    <row r="72" ht="15.75" customHeight="1">
      <c r="A72" s="72"/>
      <c r="B72" s="72"/>
      <c r="C72" s="73"/>
      <c r="D72" s="72"/>
      <c r="E72" s="72"/>
      <c r="F72" s="74"/>
      <c r="G72" s="75"/>
      <c r="H72" s="72"/>
      <c r="I72" s="72"/>
    </row>
    <row r="73" ht="15.75" customHeight="1">
      <c r="A73" s="72"/>
      <c r="B73" s="72"/>
      <c r="C73" s="73"/>
      <c r="D73" s="72"/>
      <c r="E73" s="72"/>
      <c r="F73" s="74"/>
      <c r="G73" s="75"/>
      <c r="H73" s="72"/>
      <c r="I73" s="72"/>
    </row>
    <row r="74" ht="15.75" customHeight="1">
      <c r="A74" s="72"/>
      <c r="B74" s="72"/>
      <c r="C74" s="73"/>
      <c r="D74" s="72"/>
      <c r="E74" s="72"/>
      <c r="F74" s="74"/>
      <c r="G74" s="75"/>
      <c r="H74" s="72"/>
      <c r="I74" s="72"/>
    </row>
    <row r="75" ht="15.75" customHeight="1">
      <c r="A75" s="72"/>
      <c r="B75" s="72"/>
      <c r="C75" s="73"/>
      <c r="D75" s="72"/>
      <c r="E75" s="72"/>
      <c r="F75" s="74"/>
      <c r="G75" s="75"/>
      <c r="H75" s="72"/>
      <c r="I75" s="72"/>
    </row>
    <row r="76" ht="15.75" customHeight="1">
      <c r="A76" s="72"/>
      <c r="B76" s="72"/>
      <c r="C76" s="73"/>
      <c r="D76" s="72"/>
      <c r="E76" s="72"/>
      <c r="F76" s="74"/>
      <c r="G76" s="75"/>
      <c r="H76" s="72"/>
      <c r="I76" s="72"/>
    </row>
    <row r="77" ht="15.75" customHeight="1">
      <c r="A77" s="72"/>
      <c r="B77" s="72"/>
      <c r="C77" s="73"/>
      <c r="D77" s="72"/>
      <c r="E77" s="72"/>
      <c r="F77" s="74"/>
      <c r="G77" s="75"/>
      <c r="H77" s="72"/>
      <c r="I77" s="72"/>
    </row>
    <row r="78" ht="15.75" customHeight="1">
      <c r="A78" s="72"/>
      <c r="B78" s="72"/>
      <c r="C78" s="73"/>
      <c r="D78" s="72"/>
      <c r="E78" s="72"/>
      <c r="F78" s="74"/>
      <c r="G78" s="75"/>
      <c r="H78" s="72"/>
      <c r="I78" s="72"/>
    </row>
    <row r="79" ht="15.75" customHeight="1">
      <c r="A79" s="72"/>
      <c r="B79" s="72"/>
      <c r="C79" s="73"/>
      <c r="D79" s="72"/>
      <c r="E79" s="72"/>
      <c r="F79" s="74"/>
      <c r="G79" s="75"/>
      <c r="H79" s="72"/>
      <c r="I79" s="72"/>
    </row>
    <row r="80" ht="15.75" customHeight="1">
      <c r="A80" s="72"/>
      <c r="B80" s="72"/>
      <c r="C80" s="73"/>
      <c r="D80" s="72"/>
      <c r="E80" s="72"/>
      <c r="F80" s="74"/>
      <c r="G80" s="75"/>
      <c r="H80" s="72"/>
      <c r="I80" s="72"/>
    </row>
    <row r="81" ht="15.75" customHeight="1">
      <c r="A81" s="72"/>
      <c r="B81" s="72"/>
      <c r="C81" s="73"/>
      <c r="D81" s="72"/>
      <c r="E81" s="72"/>
      <c r="F81" s="74"/>
      <c r="G81" s="75"/>
      <c r="H81" s="72"/>
      <c r="I81" s="72"/>
    </row>
    <row r="82" ht="15.75" customHeight="1">
      <c r="A82" s="72"/>
      <c r="B82" s="72"/>
      <c r="C82" s="73"/>
      <c r="D82" s="72"/>
      <c r="E82" s="72"/>
      <c r="F82" s="74"/>
      <c r="G82" s="75"/>
      <c r="H82" s="72"/>
      <c r="I82" s="72"/>
    </row>
    <row r="83" ht="15.75" customHeight="1">
      <c r="A83" s="72"/>
      <c r="B83" s="72"/>
      <c r="C83" s="73"/>
      <c r="D83" s="72"/>
      <c r="E83" s="72"/>
      <c r="F83" s="74"/>
      <c r="G83" s="75"/>
      <c r="H83" s="72"/>
      <c r="I83" s="72"/>
    </row>
    <row r="84" ht="15.75" customHeight="1">
      <c r="A84" s="72"/>
      <c r="B84" s="72"/>
      <c r="C84" s="73"/>
      <c r="D84" s="72"/>
      <c r="E84" s="72"/>
      <c r="F84" s="74"/>
      <c r="G84" s="75"/>
      <c r="H84" s="72"/>
      <c r="I84" s="72"/>
    </row>
    <row r="85" ht="15.75" customHeight="1">
      <c r="A85" s="72"/>
      <c r="B85" s="72"/>
      <c r="C85" s="73"/>
      <c r="D85" s="72"/>
      <c r="E85" s="72"/>
      <c r="F85" s="74"/>
      <c r="G85" s="75"/>
      <c r="H85" s="72"/>
      <c r="I85" s="72"/>
    </row>
    <row r="86" ht="15.75" customHeight="1">
      <c r="A86" s="72"/>
      <c r="B86" s="72"/>
      <c r="C86" s="73"/>
      <c r="D86" s="72"/>
      <c r="E86" s="72"/>
      <c r="F86" s="74"/>
      <c r="G86" s="75"/>
      <c r="H86" s="72"/>
      <c r="I86" s="72"/>
    </row>
    <row r="87" ht="15.75" customHeight="1">
      <c r="A87" s="72"/>
      <c r="B87" s="72"/>
      <c r="C87" s="73"/>
      <c r="D87" s="72"/>
      <c r="E87" s="72"/>
      <c r="F87" s="74"/>
      <c r="G87" s="75"/>
      <c r="H87" s="72"/>
      <c r="I87" s="72"/>
    </row>
    <row r="88" ht="15.75" customHeight="1">
      <c r="A88" s="72"/>
      <c r="B88" s="72"/>
      <c r="C88" s="73"/>
      <c r="D88" s="72"/>
      <c r="E88" s="72"/>
      <c r="F88" s="74"/>
      <c r="G88" s="75"/>
      <c r="H88" s="72"/>
      <c r="I88" s="72"/>
    </row>
    <row r="89" ht="15.75" customHeight="1">
      <c r="A89" s="72"/>
      <c r="B89" s="72"/>
      <c r="C89" s="73"/>
      <c r="D89" s="72"/>
      <c r="E89" s="72"/>
      <c r="F89" s="74"/>
      <c r="G89" s="75"/>
      <c r="H89" s="72"/>
      <c r="I89" s="72"/>
    </row>
    <row r="90" ht="15.75" customHeight="1">
      <c r="A90" s="72"/>
      <c r="B90" s="72"/>
      <c r="C90" s="73"/>
      <c r="D90" s="72"/>
      <c r="E90" s="72"/>
      <c r="F90" s="74"/>
      <c r="G90" s="75"/>
      <c r="H90" s="72"/>
      <c r="I90" s="72"/>
    </row>
    <row r="91" ht="15.75" customHeight="1">
      <c r="A91" s="72"/>
      <c r="B91" s="72"/>
      <c r="C91" s="73"/>
      <c r="D91" s="72"/>
      <c r="E91" s="72"/>
      <c r="F91" s="74"/>
      <c r="G91" s="75"/>
      <c r="H91" s="72"/>
      <c r="I91" s="72"/>
    </row>
    <row r="92" ht="15.75" customHeight="1">
      <c r="A92" s="72"/>
      <c r="B92" s="72"/>
      <c r="C92" s="73"/>
      <c r="D92" s="72"/>
      <c r="E92" s="72"/>
      <c r="F92" s="74"/>
      <c r="G92" s="75"/>
      <c r="H92" s="72"/>
      <c r="I92" s="72"/>
    </row>
    <row r="93" ht="15.75" customHeight="1">
      <c r="A93" s="72"/>
      <c r="B93" s="72"/>
      <c r="C93" s="73"/>
      <c r="D93" s="72"/>
      <c r="E93" s="72"/>
      <c r="F93" s="74"/>
      <c r="G93" s="75"/>
      <c r="H93" s="72"/>
      <c r="I93" s="72"/>
    </row>
    <row r="94" ht="15.75" customHeight="1">
      <c r="A94" s="72"/>
      <c r="B94" s="72"/>
      <c r="C94" s="73"/>
      <c r="D94" s="72"/>
      <c r="E94" s="72"/>
      <c r="F94" s="74"/>
      <c r="G94" s="75"/>
      <c r="H94" s="72"/>
      <c r="I94" s="72"/>
    </row>
    <row r="95" ht="15.75" customHeight="1">
      <c r="A95" s="72"/>
      <c r="B95" s="72"/>
      <c r="C95" s="73"/>
      <c r="D95" s="72"/>
      <c r="E95" s="72"/>
      <c r="F95" s="74"/>
      <c r="G95" s="75"/>
      <c r="H95" s="72"/>
      <c r="I95" s="72"/>
    </row>
    <row r="96" ht="15.75" customHeight="1">
      <c r="A96" s="72"/>
      <c r="B96" s="72"/>
      <c r="C96" s="73"/>
      <c r="D96" s="72"/>
      <c r="E96" s="72"/>
      <c r="F96" s="74"/>
      <c r="G96" s="75"/>
      <c r="H96" s="72"/>
      <c r="I96" s="72"/>
    </row>
    <row r="97" ht="15.75" customHeight="1">
      <c r="A97" s="72"/>
      <c r="B97" s="72"/>
      <c r="C97" s="73"/>
      <c r="D97" s="72"/>
      <c r="E97" s="72"/>
      <c r="F97" s="74"/>
      <c r="G97" s="75"/>
      <c r="H97" s="72"/>
      <c r="I97" s="72"/>
    </row>
    <row r="98" ht="15.75" customHeight="1">
      <c r="A98" s="72"/>
      <c r="B98" s="72"/>
      <c r="C98" s="73"/>
      <c r="D98" s="72"/>
      <c r="E98" s="72"/>
      <c r="F98" s="74"/>
      <c r="G98" s="75"/>
      <c r="H98" s="72"/>
      <c r="I98" s="72"/>
    </row>
    <row r="99" ht="15.75" customHeight="1">
      <c r="A99" s="72"/>
      <c r="B99" s="72"/>
      <c r="C99" s="73"/>
      <c r="D99" s="72"/>
      <c r="E99" s="72"/>
      <c r="F99" s="74"/>
      <c r="G99" s="75"/>
      <c r="H99" s="72"/>
      <c r="I99" s="72"/>
    </row>
    <row r="100" ht="15.75" customHeight="1">
      <c r="A100" s="72"/>
      <c r="B100" s="72"/>
      <c r="C100" s="73"/>
      <c r="D100" s="72"/>
      <c r="E100" s="72"/>
      <c r="F100" s="74"/>
      <c r="G100" s="75"/>
      <c r="H100" s="72"/>
      <c r="I100" s="72"/>
    </row>
    <row r="101" ht="15.75" customHeight="1">
      <c r="A101" s="72"/>
      <c r="B101" s="72"/>
      <c r="C101" s="73"/>
      <c r="D101" s="72"/>
      <c r="E101" s="72"/>
      <c r="F101" s="74"/>
      <c r="G101" s="75"/>
      <c r="H101" s="72"/>
      <c r="I101" s="72"/>
    </row>
    <row r="102" ht="15.75" customHeight="1">
      <c r="A102" s="72"/>
      <c r="B102" s="72"/>
      <c r="C102" s="73"/>
      <c r="D102" s="72"/>
      <c r="E102" s="72"/>
      <c r="F102" s="74"/>
      <c r="G102" s="75"/>
      <c r="H102" s="72"/>
      <c r="I102" s="72"/>
    </row>
    <row r="103" ht="15.75" customHeight="1">
      <c r="A103" s="72"/>
      <c r="B103" s="72"/>
      <c r="C103" s="73"/>
      <c r="D103" s="72"/>
      <c r="E103" s="72"/>
      <c r="F103" s="74"/>
      <c r="G103" s="75"/>
      <c r="H103" s="72"/>
      <c r="I103" s="72"/>
    </row>
    <row r="104" ht="15.75" customHeight="1">
      <c r="A104" s="72"/>
      <c r="B104" s="72"/>
      <c r="C104" s="73"/>
      <c r="D104" s="72"/>
      <c r="E104" s="72"/>
      <c r="F104" s="74"/>
      <c r="G104" s="75"/>
      <c r="H104" s="72"/>
      <c r="I104" s="72"/>
    </row>
    <row r="105" ht="15.75" customHeight="1">
      <c r="A105" s="72"/>
      <c r="B105" s="72"/>
      <c r="C105" s="73"/>
      <c r="D105" s="72"/>
      <c r="E105" s="72"/>
      <c r="F105" s="74"/>
      <c r="G105" s="75"/>
      <c r="H105" s="72"/>
      <c r="I105" s="72"/>
    </row>
    <row r="106" ht="15.75" customHeight="1">
      <c r="A106" s="72"/>
      <c r="B106" s="72"/>
      <c r="C106" s="73"/>
      <c r="D106" s="72"/>
      <c r="E106" s="72"/>
      <c r="F106" s="74"/>
      <c r="G106" s="75"/>
      <c r="H106" s="72"/>
      <c r="I106" s="72"/>
    </row>
    <row r="107" ht="15.75" customHeight="1">
      <c r="A107" s="72"/>
      <c r="B107" s="72"/>
      <c r="C107" s="73"/>
      <c r="D107" s="72"/>
      <c r="E107" s="72"/>
      <c r="F107" s="74"/>
      <c r="G107" s="75"/>
      <c r="H107" s="72"/>
      <c r="I107" s="72"/>
    </row>
    <row r="108" ht="15.75" customHeight="1">
      <c r="A108" s="72"/>
      <c r="B108" s="72"/>
      <c r="C108" s="73"/>
      <c r="D108" s="72"/>
      <c r="E108" s="72"/>
      <c r="F108" s="74"/>
      <c r="G108" s="75"/>
      <c r="H108" s="72"/>
      <c r="I108" s="72"/>
    </row>
    <row r="109" ht="15.75" customHeight="1">
      <c r="A109" s="72"/>
      <c r="B109" s="72"/>
      <c r="C109" s="73"/>
      <c r="D109" s="72"/>
      <c r="E109" s="72"/>
      <c r="F109" s="74"/>
      <c r="G109" s="75"/>
      <c r="H109" s="72"/>
      <c r="I109" s="72"/>
    </row>
    <row r="110" ht="15.75" customHeight="1">
      <c r="A110" s="72"/>
      <c r="B110" s="72"/>
      <c r="C110" s="73"/>
      <c r="D110" s="72"/>
      <c r="E110" s="72"/>
      <c r="F110" s="74"/>
      <c r="G110" s="75"/>
      <c r="H110" s="72"/>
      <c r="I110" s="72"/>
    </row>
    <row r="111" ht="15.75" customHeight="1">
      <c r="A111" s="72"/>
      <c r="B111" s="72"/>
      <c r="C111" s="73"/>
      <c r="D111" s="72"/>
      <c r="E111" s="72"/>
      <c r="F111" s="74"/>
      <c r="G111" s="75"/>
      <c r="H111" s="72"/>
      <c r="I111" s="72"/>
    </row>
    <row r="112" ht="15.75" customHeight="1">
      <c r="A112" s="72"/>
      <c r="B112" s="72"/>
      <c r="C112" s="73"/>
      <c r="D112" s="72"/>
      <c r="E112" s="72"/>
      <c r="F112" s="74"/>
      <c r="G112" s="75"/>
      <c r="H112" s="72"/>
      <c r="I112" s="72"/>
    </row>
    <row r="113" ht="15.75" customHeight="1">
      <c r="A113" s="72"/>
      <c r="B113" s="72"/>
      <c r="C113" s="73"/>
      <c r="D113" s="72"/>
      <c r="E113" s="72"/>
      <c r="F113" s="74"/>
      <c r="G113" s="75"/>
      <c r="H113" s="72"/>
      <c r="I113" s="72"/>
    </row>
    <row r="114" ht="15.75" customHeight="1">
      <c r="A114" s="72"/>
      <c r="B114" s="72"/>
      <c r="C114" s="73"/>
      <c r="D114" s="72"/>
      <c r="E114" s="72"/>
      <c r="F114" s="74"/>
      <c r="G114" s="75"/>
      <c r="H114" s="72"/>
      <c r="I114" s="72"/>
    </row>
    <row r="115" ht="15.75" customHeight="1">
      <c r="A115" s="72"/>
      <c r="B115" s="72"/>
      <c r="C115" s="73"/>
      <c r="D115" s="72"/>
      <c r="E115" s="72"/>
      <c r="F115" s="74"/>
      <c r="G115" s="75"/>
      <c r="H115" s="72"/>
      <c r="I115" s="72"/>
    </row>
    <row r="116" ht="15.75" customHeight="1">
      <c r="A116" s="72"/>
      <c r="B116" s="72"/>
      <c r="C116" s="73"/>
      <c r="D116" s="72"/>
      <c r="E116" s="72"/>
      <c r="F116" s="74"/>
      <c r="G116" s="75"/>
      <c r="H116" s="72"/>
      <c r="I116" s="72"/>
    </row>
    <row r="117" ht="15.75" customHeight="1">
      <c r="A117" s="72"/>
      <c r="B117" s="72"/>
      <c r="C117" s="73"/>
      <c r="D117" s="72"/>
      <c r="E117" s="72"/>
      <c r="F117" s="74"/>
      <c r="G117" s="75"/>
      <c r="H117" s="72"/>
      <c r="I117" s="72"/>
    </row>
    <row r="118" ht="15.75" customHeight="1">
      <c r="A118" s="72"/>
      <c r="B118" s="72"/>
      <c r="C118" s="73"/>
      <c r="D118" s="72"/>
      <c r="E118" s="72"/>
      <c r="F118" s="74"/>
      <c r="G118" s="75"/>
      <c r="H118" s="72"/>
      <c r="I118" s="72"/>
    </row>
    <row r="119" ht="15.75" customHeight="1">
      <c r="A119" s="72"/>
      <c r="B119" s="72"/>
      <c r="C119" s="73"/>
      <c r="D119" s="72"/>
      <c r="E119" s="72"/>
      <c r="F119" s="74"/>
      <c r="G119" s="75"/>
      <c r="H119" s="72"/>
      <c r="I119" s="72"/>
    </row>
    <row r="120" ht="15.75" customHeight="1">
      <c r="A120" s="72"/>
      <c r="B120" s="72"/>
      <c r="C120" s="73"/>
      <c r="D120" s="72"/>
      <c r="E120" s="72"/>
      <c r="F120" s="74"/>
      <c r="G120" s="75"/>
      <c r="H120" s="72"/>
      <c r="I120" s="72"/>
    </row>
    <row r="121" ht="15.75" customHeight="1">
      <c r="A121" s="72"/>
      <c r="B121" s="72"/>
      <c r="C121" s="73"/>
      <c r="D121" s="72"/>
      <c r="E121" s="72"/>
      <c r="F121" s="74"/>
      <c r="G121" s="75"/>
      <c r="H121" s="72"/>
      <c r="I121" s="72"/>
    </row>
    <row r="122" ht="15.75" customHeight="1">
      <c r="A122" s="72"/>
      <c r="B122" s="72"/>
      <c r="C122" s="73"/>
      <c r="D122" s="72"/>
      <c r="E122" s="72"/>
      <c r="F122" s="74"/>
      <c r="G122" s="75"/>
      <c r="H122" s="72"/>
      <c r="I122" s="72"/>
    </row>
    <row r="123" ht="15.75" customHeight="1">
      <c r="A123" s="72"/>
      <c r="B123" s="72"/>
      <c r="C123" s="73"/>
      <c r="D123" s="72"/>
      <c r="E123" s="72"/>
      <c r="F123" s="74"/>
      <c r="G123" s="75"/>
      <c r="H123" s="72"/>
      <c r="I123" s="72"/>
    </row>
    <row r="124" ht="15.75" customHeight="1">
      <c r="A124" s="72"/>
      <c r="B124" s="72"/>
      <c r="C124" s="73"/>
      <c r="D124" s="72"/>
      <c r="E124" s="72"/>
      <c r="F124" s="74"/>
      <c r="G124" s="75"/>
      <c r="H124" s="72"/>
      <c r="I124" s="72"/>
    </row>
    <row r="125" ht="15.75" customHeight="1">
      <c r="A125" s="72"/>
      <c r="B125" s="72"/>
      <c r="C125" s="73"/>
      <c r="D125" s="72"/>
      <c r="E125" s="72"/>
      <c r="F125" s="74"/>
      <c r="G125" s="75"/>
      <c r="H125" s="72"/>
      <c r="I125" s="72"/>
    </row>
    <row r="126" ht="15.75" customHeight="1">
      <c r="A126" s="72"/>
      <c r="B126" s="72"/>
      <c r="C126" s="73"/>
      <c r="D126" s="72"/>
      <c r="E126" s="72"/>
      <c r="F126" s="74"/>
      <c r="G126" s="75"/>
      <c r="H126" s="72"/>
      <c r="I126" s="72"/>
    </row>
    <row r="127" ht="15.75" customHeight="1">
      <c r="A127" s="72"/>
      <c r="B127" s="72"/>
      <c r="C127" s="73"/>
      <c r="D127" s="72"/>
      <c r="E127" s="72"/>
      <c r="F127" s="74"/>
      <c r="G127" s="75"/>
      <c r="H127" s="72"/>
      <c r="I127" s="72"/>
    </row>
    <row r="128" ht="15.75" customHeight="1">
      <c r="A128" s="72"/>
      <c r="B128" s="72"/>
      <c r="C128" s="73"/>
      <c r="D128" s="72"/>
      <c r="E128" s="72"/>
      <c r="F128" s="74"/>
      <c r="G128" s="75"/>
      <c r="H128" s="72"/>
      <c r="I128" s="72"/>
    </row>
    <row r="129" ht="15.75" customHeight="1">
      <c r="A129" s="72"/>
      <c r="B129" s="72"/>
      <c r="C129" s="73"/>
      <c r="D129" s="72"/>
      <c r="E129" s="72"/>
      <c r="F129" s="74"/>
      <c r="G129" s="75"/>
      <c r="H129" s="72"/>
      <c r="I129" s="72"/>
    </row>
    <row r="130" ht="15.75" customHeight="1">
      <c r="A130" s="72"/>
      <c r="B130" s="72"/>
      <c r="C130" s="73"/>
      <c r="D130" s="72"/>
      <c r="E130" s="72"/>
      <c r="F130" s="74"/>
      <c r="G130" s="75"/>
      <c r="H130" s="72"/>
      <c r="I130" s="72"/>
    </row>
    <row r="131" ht="15.75" customHeight="1">
      <c r="A131" s="72"/>
      <c r="B131" s="72"/>
      <c r="C131" s="73"/>
      <c r="D131" s="72"/>
      <c r="E131" s="72"/>
      <c r="F131" s="74"/>
      <c r="G131" s="75"/>
      <c r="H131" s="72"/>
      <c r="I131" s="72"/>
    </row>
    <row r="132" ht="15.75" customHeight="1">
      <c r="A132" s="72"/>
      <c r="B132" s="72"/>
      <c r="C132" s="73"/>
      <c r="D132" s="72"/>
      <c r="E132" s="72"/>
      <c r="F132" s="74"/>
      <c r="G132" s="75"/>
      <c r="H132" s="72"/>
      <c r="I132" s="72"/>
    </row>
    <row r="133" ht="15.75" customHeight="1">
      <c r="A133" s="72"/>
      <c r="B133" s="72"/>
      <c r="C133" s="73"/>
      <c r="D133" s="72"/>
      <c r="E133" s="72"/>
      <c r="F133" s="74"/>
      <c r="G133" s="75"/>
      <c r="H133" s="72"/>
      <c r="I133" s="72"/>
    </row>
    <row r="134" ht="15.75" customHeight="1">
      <c r="A134" s="72"/>
      <c r="B134" s="72"/>
      <c r="C134" s="73"/>
      <c r="D134" s="72"/>
      <c r="E134" s="72"/>
      <c r="F134" s="74"/>
      <c r="G134" s="75"/>
      <c r="H134" s="72"/>
      <c r="I134" s="72"/>
    </row>
    <row r="135" ht="15.75" customHeight="1">
      <c r="A135" s="72"/>
      <c r="B135" s="72"/>
      <c r="C135" s="73"/>
      <c r="D135" s="72"/>
      <c r="E135" s="72"/>
      <c r="F135" s="74"/>
      <c r="G135" s="75"/>
      <c r="H135" s="72"/>
      <c r="I135" s="72"/>
    </row>
    <row r="136" ht="15.75" customHeight="1">
      <c r="A136" s="72"/>
      <c r="B136" s="72"/>
      <c r="C136" s="73"/>
      <c r="D136" s="72"/>
      <c r="E136" s="72"/>
      <c r="F136" s="74"/>
      <c r="G136" s="75"/>
      <c r="H136" s="72"/>
      <c r="I136" s="72"/>
    </row>
    <row r="137" ht="15.75" customHeight="1">
      <c r="A137" s="72"/>
      <c r="B137" s="72"/>
      <c r="C137" s="73"/>
      <c r="D137" s="72"/>
      <c r="E137" s="72"/>
      <c r="F137" s="74"/>
      <c r="G137" s="75"/>
      <c r="H137" s="72"/>
      <c r="I137" s="72"/>
    </row>
    <row r="138" ht="15.75" customHeight="1">
      <c r="A138" s="72"/>
      <c r="B138" s="72"/>
      <c r="C138" s="73"/>
      <c r="D138" s="72"/>
      <c r="E138" s="72"/>
      <c r="F138" s="74"/>
      <c r="G138" s="75"/>
      <c r="H138" s="72"/>
      <c r="I138" s="72"/>
    </row>
    <row r="139" ht="15.75" customHeight="1">
      <c r="A139" s="72"/>
      <c r="B139" s="72"/>
      <c r="C139" s="73"/>
      <c r="D139" s="72"/>
      <c r="E139" s="72"/>
      <c r="F139" s="74"/>
      <c r="G139" s="75"/>
      <c r="H139" s="72"/>
      <c r="I139" s="72"/>
    </row>
    <row r="140" ht="15.75" customHeight="1">
      <c r="A140" s="72"/>
      <c r="B140" s="72"/>
      <c r="C140" s="73"/>
      <c r="D140" s="72"/>
      <c r="E140" s="72"/>
      <c r="F140" s="74"/>
      <c r="G140" s="75"/>
      <c r="H140" s="72"/>
      <c r="I140" s="72"/>
    </row>
    <row r="141" ht="15.75" customHeight="1">
      <c r="A141" s="72"/>
      <c r="B141" s="72"/>
      <c r="C141" s="73"/>
      <c r="D141" s="72"/>
      <c r="E141" s="72"/>
      <c r="F141" s="74"/>
      <c r="G141" s="75"/>
      <c r="H141" s="72"/>
      <c r="I141" s="72"/>
    </row>
    <row r="142" ht="15.75" customHeight="1">
      <c r="A142" s="72"/>
      <c r="B142" s="72"/>
      <c r="C142" s="73"/>
      <c r="D142" s="72"/>
      <c r="E142" s="72"/>
      <c r="F142" s="74"/>
      <c r="G142" s="75"/>
      <c r="H142" s="72"/>
      <c r="I142" s="72"/>
    </row>
    <row r="143" ht="15.75" customHeight="1">
      <c r="A143" s="72"/>
      <c r="B143" s="72"/>
      <c r="C143" s="73"/>
      <c r="D143" s="72"/>
      <c r="E143" s="72"/>
      <c r="F143" s="74"/>
      <c r="G143" s="75"/>
      <c r="H143" s="72"/>
      <c r="I143" s="72"/>
    </row>
    <row r="144" ht="15.75" customHeight="1">
      <c r="A144" s="72"/>
      <c r="B144" s="72"/>
      <c r="C144" s="73"/>
      <c r="D144" s="72"/>
      <c r="E144" s="72"/>
      <c r="F144" s="74"/>
      <c r="G144" s="75"/>
      <c r="H144" s="72"/>
      <c r="I144" s="72"/>
    </row>
    <row r="145" ht="15.75" customHeight="1">
      <c r="A145" s="72"/>
      <c r="B145" s="72"/>
      <c r="C145" s="73"/>
      <c r="D145" s="72"/>
      <c r="E145" s="72"/>
      <c r="F145" s="74"/>
      <c r="G145" s="75"/>
      <c r="H145" s="72"/>
      <c r="I145" s="72"/>
    </row>
    <row r="146" ht="15.75" customHeight="1">
      <c r="A146" s="72"/>
      <c r="B146" s="72"/>
      <c r="C146" s="73"/>
      <c r="D146" s="72"/>
      <c r="E146" s="72"/>
      <c r="F146" s="74"/>
      <c r="G146" s="75"/>
      <c r="H146" s="72"/>
      <c r="I146" s="72"/>
    </row>
    <row r="147" ht="15.75" customHeight="1">
      <c r="A147" s="72"/>
      <c r="B147" s="72"/>
      <c r="C147" s="73"/>
      <c r="D147" s="72"/>
      <c r="E147" s="72"/>
      <c r="F147" s="74"/>
      <c r="G147" s="75"/>
      <c r="H147" s="72"/>
      <c r="I147" s="72"/>
    </row>
    <row r="148" ht="15.75" customHeight="1">
      <c r="A148" s="72"/>
      <c r="B148" s="72"/>
      <c r="C148" s="73"/>
      <c r="D148" s="72"/>
      <c r="E148" s="72"/>
      <c r="F148" s="74"/>
      <c r="G148" s="75"/>
      <c r="H148" s="72"/>
      <c r="I148" s="72"/>
    </row>
    <row r="149" ht="15.75" customHeight="1">
      <c r="A149" s="72"/>
      <c r="B149" s="72"/>
      <c r="C149" s="73"/>
      <c r="D149" s="72"/>
      <c r="E149" s="72"/>
      <c r="F149" s="74"/>
      <c r="G149" s="75"/>
      <c r="H149" s="72"/>
      <c r="I149" s="72"/>
    </row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0"/>
    <col customWidth="1" min="3" max="3" width="22.0"/>
    <col customWidth="1" min="4" max="4" width="12.0"/>
    <col customWidth="1" min="5" max="5" width="14.0"/>
    <col customWidth="1" min="6" max="6" width="10.0"/>
    <col customWidth="1" min="7" max="7" width="20.0"/>
    <col customWidth="1" min="8" max="8" width="38.0"/>
  </cols>
  <sheetData>
    <row r="1" ht="30.0" customHeight="1">
      <c r="A1" s="1" t="s">
        <v>390</v>
      </c>
    </row>
    <row r="2">
      <c r="D2" s="32"/>
    </row>
    <row r="3">
      <c r="A3" s="33" t="s">
        <v>63</v>
      </c>
      <c r="B3" s="33" t="s">
        <v>64</v>
      </c>
      <c r="C3" s="33" t="s">
        <v>235</v>
      </c>
      <c r="D3" s="34" t="s">
        <v>391</v>
      </c>
      <c r="E3" s="33" t="s">
        <v>392</v>
      </c>
      <c r="F3" s="33" t="s">
        <v>236</v>
      </c>
      <c r="G3" s="33" t="s">
        <v>393</v>
      </c>
      <c r="H3" s="33" t="s">
        <v>113</v>
      </c>
    </row>
    <row r="4">
      <c r="A4" s="67" t="s">
        <v>240</v>
      </c>
      <c r="B4" s="67" t="str">
        <f t="array" ref="B4:B14">IF(A4:A14="","",IFNA(VLOOKUP(A4:A14,Students!A:B,2,FALSE),"Card ID not found"))</f>
        <v>Dayeon Kang</v>
      </c>
      <c r="C4" s="67" t="s">
        <v>242</v>
      </c>
      <c r="D4" s="76">
        <v>100.0</v>
      </c>
      <c r="E4" s="72" t="s">
        <v>394</v>
      </c>
      <c r="F4" s="72" t="s">
        <v>163</v>
      </c>
      <c r="G4" s="77"/>
      <c r="H4" s="72"/>
    </row>
    <row r="5">
      <c r="A5" s="67" t="s">
        <v>103</v>
      </c>
      <c r="B5" s="72" t="s">
        <v>104</v>
      </c>
      <c r="C5" s="67" t="s">
        <v>242</v>
      </c>
      <c r="D5" s="76">
        <v>100.0</v>
      </c>
      <c r="E5" s="72" t="s">
        <v>394</v>
      </c>
      <c r="F5" s="72" t="s">
        <v>163</v>
      </c>
      <c r="G5" s="77"/>
      <c r="H5" s="72"/>
    </row>
    <row r="6">
      <c r="A6" s="67" t="s">
        <v>243</v>
      </c>
      <c r="B6" s="72" t="s">
        <v>244</v>
      </c>
      <c r="C6" s="67" t="s">
        <v>242</v>
      </c>
      <c r="D6" s="76">
        <v>100.0</v>
      </c>
      <c r="E6" s="72" t="s">
        <v>394</v>
      </c>
      <c r="F6" s="72" t="s">
        <v>163</v>
      </c>
      <c r="G6" s="77"/>
      <c r="H6" s="72"/>
    </row>
    <row r="7">
      <c r="A7" s="67" t="s">
        <v>92</v>
      </c>
      <c r="B7" s="72" t="s">
        <v>93</v>
      </c>
      <c r="C7" s="67" t="s">
        <v>242</v>
      </c>
      <c r="D7" s="76">
        <v>100.0</v>
      </c>
      <c r="E7" s="67" t="s">
        <v>394</v>
      </c>
      <c r="F7" s="67" t="s">
        <v>163</v>
      </c>
      <c r="G7" s="77"/>
      <c r="H7" s="72"/>
    </row>
    <row r="8">
      <c r="A8" s="67" t="s">
        <v>247</v>
      </c>
      <c r="B8" s="72" t="s">
        <v>248</v>
      </c>
      <c r="C8" s="67" t="s">
        <v>242</v>
      </c>
      <c r="D8" s="76">
        <v>100.0</v>
      </c>
      <c r="E8" s="67" t="s">
        <v>394</v>
      </c>
      <c r="F8" s="67" t="s">
        <v>163</v>
      </c>
      <c r="G8" s="77"/>
      <c r="H8" s="72"/>
    </row>
    <row r="9">
      <c r="A9" s="67" t="s">
        <v>245</v>
      </c>
      <c r="B9" s="72" t="s">
        <v>246</v>
      </c>
      <c r="C9" s="67" t="s">
        <v>242</v>
      </c>
      <c r="D9" s="76">
        <v>100.0</v>
      </c>
      <c r="E9" s="67" t="s">
        <v>394</v>
      </c>
      <c r="F9" s="67" t="s">
        <v>163</v>
      </c>
      <c r="G9" s="77"/>
      <c r="H9" s="72"/>
    </row>
    <row r="10">
      <c r="A10" s="67" t="s">
        <v>97</v>
      </c>
      <c r="B10" s="72" t="s">
        <v>98</v>
      </c>
      <c r="C10" s="67" t="s">
        <v>242</v>
      </c>
      <c r="D10" s="76">
        <v>100.0</v>
      </c>
      <c r="E10" s="67" t="s">
        <v>394</v>
      </c>
      <c r="F10" s="67" t="s">
        <v>163</v>
      </c>
      <c r="G10" s="77"/>
      <c r="H10" s="72"/>
    </row>
    <row r="11">
      <c r="A11" s="67" t="s">
        <v>253</v>
      </c>
      <c r="B11" s="72" t="s">
        <v>254</v>
      </c>
      <c r="C11" s="67" t="s">
        <v>242</v>
      </c>
      <c r="D11" s="76">
        <v>100.0</v>
      </c>
      <c r="E11" s="67" t="s">
        <v>394</v>
      </c>
      <c r="F11" s="67" t="s">
        <v>163</v>
      </c>
      <c r="G11" s="77"/>
      <c r="H11" s="72"/>
    </row>
    <row r="12">
      <c r="A12" s="67" t="s">
        <v>249</v>
      </c>
      <c r="B12" s="72" t="s">
        <v>250</v>
      </c>
      <c r="C12" s="67" t="s">
        <v>242</v>
      </c>
      <c r="D12" s="76">
        <v>100.0</v>
      </c>
      <c r="E12" s="67" t="s">
        <v>394</v>
      </c>
      <c r="F12" s="67" t="s">
        <v>163</v>
      </c>
      <c r="G12" s="77"/>
      <c r="H12" s="72"/>
    </row>
    <row r="13">
      <c r="A13" s="67" t="s">
        <v>251</v>
      </c>
      <c r="B13" s="72" t="s">
        <v>252</v>
      </c>
      <c r="C13" s="67" t="s">
        <v>242</v>
      </c>
      <c r="D13" s="76">
        <v>100.0</v>
      </c>
      <c r="E13" s="67" t="s">
        <v>394</v>
      </c>
      <c r="F13" s="67" t="s">
        <v>163</v>
      </c>
      <c r="G13" s="77"/>
      <c r="H13" s="72"/>
    </row>
    <row r="14">
      <c r="A14" s="67" t="s">
        <v>255</v>
      </c>
      <c r="B14" s="72" t="s">
        <v>256</v>
      </c>
      <c r="C14" s="67" t="s">
        <v>242</v>
      </c>
      <c r="D14" s="76">
        <v>100.0</v>
      </c>
      <c r="E14" s="67" t="s">
        <v>394</v>
      </c>
      <c r="F14" s="67" t="s">
        <v>163</v>
      </c>
      <c r="G14" s="77"/>
      <c r="H14" s="72"/>
    </row>
  </sheetData>
  <mergeCells count="1">
    <mergeCell ref="A1:H1"/>
  </mergeCells>
  <dataValidations>
    <dataValidation type="list" allowBlank="1" sqref="E4:E14">
      <formula1>"Daily,Weekly,Monthly,Manual"</formula1>
    </dataValidation>
    <dataValidation type="list" allowBlank="1" sqref="F4:F14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4.13"/>
    <col customWidth="1" min="3" max="3" width="13.25"/>
    <col customWidth="1" min="4" max="4" width="12.25"/>
    <col customWidth="1" min="5" max="5" width="8.38"/>
    <col customWidth="1" min="6" max="6" width="12.38"/>
    <col customWidth="1" min="7" max="7" width="7.88"/>
    <col customWidth="1" min="8" max="8" width="5.63"/>
    <col customWidth="1" min="9" max="9" width="12.5"/>
    <col customWidth="1" min="10" max="10" width="8.88"/>
    <col customWidth="1" min="11" max="11" width="14.25"/>
  </cols>
  <sheetData>
    <row r="1" ht="30.0" customHeight="1">
      <c r="A1" s="61" t="s">
        <v>395</v>
      </c>
    </row>
    <row r="2">
      <c r="E2" s="78"/>
    </row>
    <row r="3">
      <c r="A3" s="79" t="s">
        <v>396</v>
      </c>
      <c r="B3" s="79" t="s">
        <v>397</v>
      </c>
      <c r="C3" s="79" t="s">
        <v>398</v>
      </c>
      <c r="D3" s="80" t="s">
        <v>399</v>
      </c>
      <c r="E3" s="81" t="s">
        <v>63</v>
      </c>
      <c r="F3" s="79" t="s">
        <v>64</v>
      </c>
      <c r="G3" s="79" t="s">
        <v>235</v>
      </c>
      <c r="H3" s="80" t="s">
        <v>391</v>
      </c>
      <c r="I3" s="79" t="s">
        <v>400</v>
      </c>
      <c r="J3" s="79" t="s">
        <v>401</v>
      </c>
      <c r="K3" s="79" t="s">
        <v>41</v>
      </c>
    </row>
    <row r="4" ht="15.75" customHeight="1">
      <c r="A4" s="72"/>
      <c r="B4" s="72"/>
      <c r="C4" s="72"/>
      <c r="D4" s="74"/>
      <c r="E4" s="82"/>
      <c r="F4" s="72"/>
      <c r="G4" s="77"/>
      <c r="H4" s="72"/>
      <c r="I4" s="72"/>
      <c r="J4" s="72"/>
      <c r="K4" s="72"/>
    </row>
    <row r="5" ht="15.75" customHeight="1">
      <c r="A5" s="72"/>
      <c r="B5" s="72"/>
      <c r="C5" s="72"/>
      <c r="D5" s="74"/>
      <c r="E5" s="82"/>
      <c r="F5" s="72"/>
      <c r="G5" s="77"/>
      <c r="H5" s="72"/>
      <c r="I5" s="72"/>
      <c r="J5" s="72"/>
      <c r="K5" s="72"/>
    </row>
    <row r="6" ht="15.75" customHeight="1">
      <c r="A6" s="72"/>
      <c r="B6" s="72"/>
      <c r="C6" s="72"/>
      <c r="D6" s="74"/>
      <c r="E6" s="82"/>
      <c r="F6" s="72"/>
      <c r="G6" s="77"/>
      <c r="H6" s="72"/>
      <c r="I6" s="72"/>
      <c r="J6" s="72"/>
      <c r="K6" s="72"/>
    </row>
    <row r="7" ht="15.75" customHeight="1">
      <c r="A7" s="72"/>
      <c r="B7" s="72"/>
      <c r="C7" s="72"/>
      <c r="D7" s="74"/>
      <c r="E7" s="82"/>
      <c r="F7" s="72"/>
      <c r="G7" s="77"/>
      <c r="H7" s="72"/>
      <c r="I7" s="72"/>
      <c r="J7" s="72"/>
      <c r="K7" s="72"/>
    </row>
    <row r="8" ht="15.75" customHeight="1">
      <c r="A8" s="72"/>
      <c r="B8" s="72"/>
      <c r="C8" s="72"/>
      <c r="D8" s="74"/>
      <c r="E8" s="82"/>
      <c r="F8" s="72"/>
      <c r="G8" s="77"/>
      <c r="H8" s="72"/>
      <c r="I8" s="72"/>
      <c r="J8" s="72"/>
      <c r="K8" s="72"/>
    </row>
    <row r="9" ht="15.75" customHeight="1">
      <c r="A9" s="72"/>
      <c r="B9" s="72"/>
      <c r="C9" s="72"/>
      <c r="D9" s="74"/>
      <c r="E9" s="82"/>
      <c r="F9" s="72"/>
      <c r="G9" s="77"/>
      <c r="H9" s="72"/>
      <c r="I9" s="72"/>
      <c r="J9" s="72"/>
      <c r="K9" s="72"/>
    </row>
    <row r="10" ht="15.75" customHeight="1">
      <c r="A10" s="72"/>
      <c r="B10" s="72"/>
      <c r="C10" s="72"/>
      <c r="D10" s="74"/>
      <c r="E10" s="82"/>
      <c r="F10" s="72"/>
      <c r="G10" s="77"/>
      <c r="H10" s="72"/>
      <c r="I10" s="72"/>
      <c r="J10" s="72"/>
      <c r="K10" s="72"/>
    </row>
    <row r="11" ht="15.75" customHeight="1">
      <c r="A11" s="72"/>
      <c r="B11" s="72"/>
      <c r="C11" s="72"/>
      <c r="D11" s="74"/>
      <c r="E11" s="82"/>
      <c r="F11" s="72"/>
      <c r="G11" s="77"/>
      <c r="H11" s="72"/>
      <c r="I11" s="72"/>
      <c r="J11" s="72"/>
      <c r="K11" s="72"/>
    </row>
    <row r="12" ht="15.75" customHeight="1">
      <c r="A12" s="72"/>
      <c r="B12" s="72"/>
      <c r="C12" s="72"/>
      <c r="D12" s="74"/>
      <c r="E12" s="82"/>
      <c r="F12" s="72"/>
      <c r="G12" s="77"/>
      <c r="H12" s="72"/>
      <c r="I12" s="72"/>
      <c r="J12" s="72"/>
      <c r="K12" s="72"/>
    </row>
    <row r="13" ht="15.75" customHeight="1">
      <c r="A13" s="72"/>
      <c r="B13" s="72"/>
      <c r="C13" s="72"/>
      <c r="D13" s="74"/>
      <c r="E13" s="82"/>
      <c r="F13" s="72"/>
      <c r="G13" s="77"/>
      <c r="H13" s="72"/>
      <c r="I13" s="72"/>
      <c r="J13" s="72"/>
      <c r="K13" s="72"/>
    </row>
    <row r="14" ht="15.75" customHeight="1">
      <c r="A14" s="72"/>
      <c r="B14" s="72"/>
      <c r="C14" s="72"/>
      <c r="D14" s="74"/>
      <c r="E14" s="82"/>
      <c r="F14" s="72"/>
      <c r="G14" s="77"/>
      <c r="H14" s="72"/>
      <c r="I14" s="72"/>
      <c r="J14" s="72"/>
      <c r="K14" s="72"/>
    </row>
    <row r="15" ht="15.75" customHeight="1">
      <c r="A15" s="72"/>
      <c r="B15" s="72"/>
      <c r="C15" s="72"/>
      <c r="D15" s="74"/>
      <c r="E15" s="82"/>
      <c r="F15" s="72"/>
      <c r="G15" s="77"/>
      <c r="H15" s="72"/>
      <c r="I15" s="72"/>
      <c r="J15" s="72"/>
      <c r="K15" s="72"/>
    </row>
    <row r="16" ht="15.75" customHeight="1">
      <c r="A16" s="72"/>
      <c r="B16" s="72"/>
      <c r="C16" s="72"/>
      <c r="D16" s="74"/>
      <c r="E16" s="82"/>
      <c r="F16" s="72"/>
      <c r="G16" s="77"/>
      <c r="H16" s="72"/>
      <c r="I16" s="72"/>
      <c r="J16" s="72"/>
      <c r="K16" s="72"/>
    </row>
    <row r="17" ht="15.75" customHeight="1">
      <c r="A17" s="72"/>
      <c r="B17" s="72"/>
      <c r="C17" s="72"/>
      <c r="D17" s="74"/>
      <c r="E17" s="82"/>
      <c r="F17" s="72"/>
      <c r="G17" s="77"/>
      <c r="H17" s="72"/>
      <c r="I17" s="72"/>
      <c r="J17" s="72"/>
      <c r="K17" s="72"/>
    </row>
    <row r="18" ht="15.75" customHeight="1">
      <c r="A18" s="72"/>
      <c r="B18" s="72"/>
      <c r="C18" s="72"/>
      <c r="D18" s="74"/>
      <c r="E18" s="82"/>
      <c r="F18" s="72"/>
      <c r="G18" s="77"/>
      <c r="H18" s="72"/>
      <c r="I18" s="72"/>
      <c r="J18" s="72"/>
      <c r="K18" s="72"/>
    </row>
    <row r="19" ht="15.75" customHeight="1">
      <c r="A19" s="72"/>
      <c r="B19" s="72"/>
      <c r="C19" s="72"/>
      <c r="D19" s="74"/>
      <c r="E19" s="82"/>
      <c r="F19" s="72"/>
      <c r="G19" s="77"/>
      <c r="H19" s="72"/>
      <c r="I19" s="72"/>
      <c r="J19" s="72"/>
      <c r="K19" s="72"/>
    </row>
    <row r="20" ht="15.75" customHeight="1">
      <c r="A20" s="72"/>
      <c r="B20" s="72"/>
      <c r="C20" s="72"/>
      <c r="D20" s="74"/>
      <c r="E20" s="82"/>
      <c r="F20" s="72"/>
      <c r="G20" s="77"/>
      <c r="H20" s="72"/>
      <c r="I20" s="72"/>
      <c r="J20" s="72"/>
      <c r="K20" s="72"/>
    </row>
    <row r="21" ht="15.75" customHeight="1">
      <c r="A21" s="72"/>
      <c r="B21" s="72"/>
      <c r="C21" s="72"/>
      <c r="D21" s="74"/>
      <c r="E21" s="82"/>
      <c r="F21" s="72"/>
      <c r="G21" s="77"/>
      <c r="H21" s="72"/>
      <c r="I21" s="72"/>
      <c r="J21" s="72"/>
      <c r="K21" s="72"/>
    </row>
    <row r="22" ht="15.75" customHeight="1">
      <c r="A22" s="72"/>
      <c r="B22" s="72"/>
      <c r="C22" s="72"/>
      <c r="D22" s="74"/>
      <c r="E22" s="82"/>
      <c r="F22" s="72"/>
      <c r="G22" s="77"/>
      <c r="H22" s="72"/>
      <c r="I22" s="72"/>
      <c r="J22" s="72"/>
      <c r="K22" s="72"/>
    </row>
    <row r="23" ht="15.75" customHeight="1">
      <c r="A23" s="72"/>
      <c r="B23" s="72"/>
      <c r="C23" s="72"/>
      <c r="D23" s="74"/>
      <c r="E23" s="82"/>
      <c r="F23" s="72"/>
      <c r="G23" s="77"/>
      <c r="H23" s="72"/>
      <c r="I23" s="72"/>
      <c r="J23" s="72"/>
      <c r="K23" s="72"/>
    </row>
    <row r="24" ht="15.75" customHeight="1">
      <c r="A24" s="72"/>
      <c r="B24" s="72"/>
      <c r="C24" s="72"/>
      <c r="D24" s="74"/>
      <c r="E24" s="82"/>
      <c r="F24" s="72"/>
      <c r="G24" s="77"/>
      <c r="H24" s="72"/>
      <c r="I24" s="72"/>
      <c r="J24" s="72"/>
      <c r="K24" s="72"/>
    </row>
    <row r="25" ht="15.75" customHeight="1">
      <c r="A25" s="72"/>
      <c r="B25" s="72"/>
      <c r="C25" s="72"/>
      <c r="D25" s="74"/>
      <c r="E25" s="82"/>
      <c r="F25" s="72"/>
      <c r="G25" s="77"/>
      <c r="H25" s="72"/>
      <c r="I25" s="72"/>
      <c r="J25" s="72"/>
      <c r="K25" s="72"/>
    </row>
    <row r="26" ht="15.75" customHeight="1">
      <c r="A26" s="72"/>
      <c r="B26" s="72"/>
      <c r="C26" s="72"/>
      <c r="D26" s="74"/>
      <c r="E26" s="82"/>
      <c r="F26" s="72"/>
      <c r="G26" s="77"/>
      <c r="H26" s="72"/>
      <c r="I26" s="72"/>
      <c r="J26" s="72"/>
      <c r="K26" s="72"/>
    </row>
    <row r="27" ht="15.75" customHeight="1">
      <c r="A27" s="72"/>
      <c r="B27" s="72"/>
      <c r="C27" s="72"/>
      <c r="D27" s="74"/>
      <c r="E27" s="82"/>
      <c r="F27" s="72"/>
      <c r="G27" s="77"/>
      <c r="H27" s="72"/>
      <c r="I27" s="72"/>
      <c r="J27" s="72"/>
      <c r="K27" s="72"/>
    </row>
    <row r="28" ht="15.75" customHeight="1">
      <c r="A28" s="72"/>
      <c r="B28" s="72"/>
      <c r="C28" s="72"/>
      <c r="D28" s="74"/>
      <c r="E28" s="82"/>
      <c r="F28" s="72"/>
      <c r="G28" s="77"/>
      <c r="H28" s="72"/>
      <c r="I28" s="72"/>
      <c r="J28" s="72"/>
      <c r="K28" s="72"/>
    </row>
    <row r="29" ht="15.75" customHeight="1">
      <c r="A29" s="72"/>
      <c r="B29" s="72"/>
      <c r="C29" s="72"/>
      <c r="D29" s="74"/>
      <c r="E29" s="82"/>
      <c r="F29" s="72"/>
      <c r="G29" s="77"/>
      <c r="H29" s="72"/>
      <c r="I29" s="72"/>
      <c r="J29" s="72"/>
      <c r="K29" s="72"/>
    </row>
    <row r="30" ht="15.75" customHeight="1">
      <c r="A30" s="72"/>
      <c r="B30" s="72"/>
      <c r="C30" s="72"/>
      <c r="D30" s="74"/>
      <c r="E30" s="82"/>
      <c r="F30" s="72"/>
      <c r="G30" s="77"/>
      <c r="H30" s="72"/>
      <c r="I30" s="72"/>
      <c r="J30" s="72"/>
      <c r="K30" s="72"/>
    </row>
    <row r="31" ht="15.75" customHeight="1">
      <c r="A31" s="72"/>
      <c r="B31" s="72"/>
      <c r="C31" s="72"/>
      <c r="D31" s="74"/>
      <c r="E31" s="82"/>
      <c r="F31" s="72"/>
      <c r="G31" s="77"/>
      <c r="H31" s="72"/>
      <c r="I31" s="72"/>
      <c r="J31" s="72"/>
      <c r="K31" s="72"/>
    </row>
    <row r="32" ht="15.75" customHeight="1">
      <c r="A32" s="72"/>
      <c r="B32" s="72"/>
      <c r="C32" s="72"/>
      <c r="D32" s="74"/>
      <c r="E32" s="82"/>
      <c r="F32" s="72"/>
      <c r="G32" s="77"/>
      <c r="H32" s="72"/>
      <c r="I32" s="72"/>
      <c r="J32" s="72"/>
      <c r="K32" s="72"/>
    </row>
    <row r="33" ht="15.75" customHeight="1">
      <c r="A33" s="72"/>
      <c r="B33" s="72"/>
      <c r="C33" s="72"/>
      <c r="D33" s="74"/>
      <c r="E33" s="82"/>
      <c r="F33" s="72"/>
      <c r="G33" s="77"/>
      <c r="H33" s="72"/>
      <c r="I33" s="72"/>
      <c r="J33" s="72"/>
      <c r="K33" s="72"/>
    </row>
    <row r="34" ht="15.75" customHeight="1">
      <c r="A34" s="72"/>
      <c r="B34" s="72"/>
      <c r="C34" s="72"/>
      <c r="D34" s="74"/>
      <c r="E34" s="82"/>
      <c r="F34" s="72"/>
      <c r="G34" s="77"/>
      <c r="H34" s="72"/>
      <c r="I34" s="72"/>
      <c r="J34" s="72"/>
      <c r="K34" s="72"/>
    </row>
    <row r="35" ht="15.75" customHeight="1">
      <c r="A35" s="72"/>
      <c r="B35" s="72"/>
      <c r="C35" s="72"/>
      <c r="D35" s="74"/>
      <c r="E35" s="82"/>
      <c r="F35" s="72"/>
      <c r="G35" s="77"/>
      <c r="H35" s="72"/>
      <c r="I35" s="72"/>
      <c r="J35" s="72"/>
      <c r="K35" s="72"/>
    </row>
    <row r="36" ht="15.75" customHeight="1">
      <c r="A36" s="72"/>
      <c r="B36" s="72"/>
      <c r="C36" s="72"/>
      <c r="D36" s="74"/>
      <c r="E36" s="82"/>
      <c r="F36" s="72"/>
      <c r="G36" s="77"/>
      <c r="H36" s="72"/>
      <c r="I36" s="72"/>
      <c r="J36" s="72"/>
      <c r="K36" s="72"/>
    </row>
    <row r="37" ht="15.75" customHeight="1">
      <c r="A37" s="72"/>
      <c r="B37" s="72"/>
      <c r="C37" s="72"/>
      <c r="D37" s="74"/>
      <c r="E37" s="82"/>
      <c r="F37" s="72"/>
      <c r="G37" s="77"/>
      <c r="H37" s="72"/>
      <c r="I37" s="72"/>
      <c r="J37" s="72"/>
      <c r="K37" s="72"/>
    </row>
    <row r="38" ht="15.75" customHeight="1">
      <c r="A38" s="72"/>
      <c r="B38" s="72"/>
      <c r="C38" s="72"/>
      <c r="D38" s="74"/>
      <c r="E38" s="82"/>
      <c r="F38" s="72"/>
      <c r="G38" s="77"/>
      <c r="H38" s="72"/>
      <c r="I38" s="72"/>
      <c r="J38" s="72"/>
      <c r="K38" s="72"/>
    </row>
    <row r="39" ht="15.75" customHeight="1">
      <c r="A39" s="72"/>
      <c r="B39" s="72"/>
      <c r="C39" s="72"/>
      <c r="D39" s="74"/>
      <c r="E39" s="82"/>
      <c r="F39" s="72"/>
      <c r="G39" s="77"/>
      <c r="H39" s="72"/>
      <c r="I39" s="72"/>
      <c r="J39" s="72"/>
      <c r="K39" s="72"/>
    </row>
    <row r="40" ht="15.75" customHeight="1">
      <c r="A40" s="72"/>
      <c r="B40" s="72"/>
      <c r="C40" s="72"/>
      <c r="D40" s="74"/>
      <c r="E40" s="82"/>
      <c r="F40" s="72"/>
      <c r="G40" s="77"/>
      <c r="H40" s="72"/>
      <c r="I40" s="72"/>
      <c r="J40" s="72"/>
      <c r="K40" s="72"/>
    </row>
    <row r="41" ht="15.75" customHeight="1">
      <c r="A41" s="72"/>
      <c r="B41" s="72"/>
      <c r="C41" s="72"/>
      <c r="D41" s="74"/>
      <c r="E41" s="82"/>
      <c r="F41" s="72"/>
      <c r="G41" s="77"/>
      <c r="H41" s="72"/>
      <c r="I41" s="72"/>
      <c r="J41" s="72"/>
      <c r="K41" s="72"/>
    </row>
    <row r="42" ht="15.75" customHeight="1">
      <c r="A42" s="72"/>
      <c r="B42" s="72"/>
      <c r="C42" s="72"/>
      <c r="D42" s="74"/>
      <c r="E42" s="82"/>
      <c r="F42" s="72"/>
      <c r="G42" s="77"/>
      <c r="H42" s="72"/>
      <c r="I42" s="72"/>
      <c r="J42" s="72"/>
      <c r="K42" s="72"/>
    </row>
    <row r="43" ht="15.75" customHeight="1">
      <c r="A43" s="72"/>
      <c r="B43" s="72"/>
      <c r="C43" s="72"/>
      <c r="D43" s="74"/>
      <c r="E43" s="82"/>
      <c r="F43" s="72"/>
      <c r="G43" s="77"/>
      <c r="H43" s="72"/>
      <c r="I43" s="72"/>
      <c r="J43" s="72"/>
      <c r="K43" s="72"/>
    </row>
    <row r="44" ht="15.75" customHeight="1">
      <c r="A44" s="72"/>
      <c r="B44" s="72"/>
      <c r="C44" s="72"/>
      <c r="D44" s="74"/>
      <c r="E44" s="82"/>
      <c r="F44" s="72"/>
      <c r="G44" s="77"/>
      <c r="H44" s="72"/>
      <c r="I44" s="72"/>
      <c r="J44" s="72"/>
      <c r="K44" s="72"/>
    </row>
    <row r="45" ht="15.75" customHeight="1">
      <c r="A45" s="72"/>
      <c r="B45" s="72"/>
      <c r="C45" s="72"/>
      <c r="D45" s="74"/>
      <c r="E45" s="82"/>
      <c r="F45" s="72"/>
      <c r="G45" s="77"/>
      <c r="H45" s="72"/>
      <c r="I45" s="72"/>
      <c r="J45" s="72"/>
      <c r="K45" s="72"/>
    </row>
    <row r="46" ht="15.75" customHeight="1">
      <c r="A46" s="72"/>
      <c r="B46" s="72"/>
      <c r="C46" s="72"/>
      <c r="D46" s="74"/>
      <c r="E46" s="82"/>
      <c r="F46" s="72"/>
      <c r="G46" s="77"/>
      <c r="H46" s="72"/>
      <c r="I46" s="72"/>
      <c r="J46" s="72"/>
      <c r="K46" s="72"/>
    </row>
    <row r="47" ht="15.75" customHeight="1">
      <c r="A47" s="72"/>
      <c r="B47" s="72"/>
      <c r="C47" s="72"/>
      <c r="D47" s="74"/>
      <c r="E47" s="82"/>
      <c r="F47" s="72"/>
      <c r="G47" s="77"/>
      <c r="H47" s="72"/>
      <c r="I47" s="72"/>
      <c r="J47" s="72"/>
      <c r="K47" s="72"/>
    </row>
    <row r="48" ht="15.75" customHeight="1">
      <c r="A48" s="72"/>
      <c r="B48" s="72"/>
      <c r="C48" s="72"/>
      <c r="D48" s="74"/>
      <c r="E48" s="82"/>
      <c r="F48" s="72"/>
      <c r="G48" s="77"/>
      <c r="H48" s="72"/>
      <c r="I48" s="72"/>
      <c r="J48" s="72"/>
      <c r="K48" s="72"/>
    </row>
    <row r="49" ht="15.75" customHeight="1">
      <c r="A49" s="72"/>
      <c r="B49" s="72"/>
      <c r="C49" s="72"/>
      <c r="D49" s="74"/>
      <c r="E49" s="82"/>
      <c r="F49" s="72"/>
      <c r="G49" s="77"/>
      <c r="H49" s="72"/>
      <c r="I49" s="72"/>
      <c r="J49" s="72"/>
      <c r="K49" s="72"/>
    </row>
    <row r="50" ht="15.75" customHeight="1">
      <c r="A50" s="72"/>
      <c r="B50" s="72"/>
      <c r="C50" s="72"/>
      <c r="D50" s="74"/>
      <c r="E50" s="82"/>
      <c r="F50" s="72"/>
      <c r="G50" s="77"/>
      <c r="H50" s="72"/>
      <c r="I50" s="72"/>
      <c r="J50" s="72"/>
      <c r="K50" s="72"/>
    </row>
    <row r="51" ht="15.75" customHeight="1">
      <c r="A51" s="72"/>
      <c r="B51" s="72"/>
      <c r="C51" s="72"/>
      <c r="D51" s="74"/>
      <c r="E51" s="82"/>
      <c r="F51" s="72"/>
      <c r="G51" s="77"/>
      <c r="H51" s="72"/>
      <c r="I51" s="72"/>
      <c r="J51" s="72"/>
      <c r="K51" s="72"/>
    </row>
    <row r="52" ht="15.75" customHeight="1">
      <c r="A52" s="72"/>
      <c r="B52" s="72"/>
      <c r="C52" s="72"/>
      <c r="D52" s="74"/>
      <c r="E52" s="82"/>
      <c r="F52" s="72"/>
      <c r="G52" s="77"/>
      <c r="H52" s="72"/>
      <c r="I52" s="72"/>
      <c r="J52" s="72"/>
      <c r="K52" s="72"/>
    </row>
    <row r="53" ht="15.75" customHeight="1">
      <c r="A53" s="72"/>
      <c r="B53" s="72"/>
      <c r="C53" s="72"/>
      <c r="D53" s="74"/>
      <c r="E53" s="82"/>
      <c r="F53" s="72"/>
      <c r="G53" s="77"/>
      <c r="H53" s="72"/>
      <c r="I53" s="72"/>
      <c r="J53" s="72"/>
      <c r="K53" s="72"/>
    </row>
    <row r="54" ht="15.75" customHeight="1">
      <c r="A54" s="72"/>
      <c r="B54" s="72"/>
      <c r="C54" s="72"/>
      <c r="D54" s="74"/>
      <c r="E54" s="82"/>
      <c r="F54" s="72"/>
      <c r="G54" s="77"/>
      <c r="H54" s="72"/>
      <c r="I54" s="72"/>
      <c r="J54" s="72"/>
      <c r="K54" s="72"/>
    </row>
    <row r="55" ht="15.75" customHeight="1">
      <c r="A55" s="72"/>
      <c r="B55" s="72"/>
      <c r="C55" s="72"/>
      <c r="D55" s="74"/>
      <c r="E55" s="82"/>
      <c r="F55" s="72"/>
      <c r="G55" s="77"/>
      <c r="H55" s="72"/>
      <c r="I55" s="72"/>
      <c r="J55" s="72"/>
      <c r="K55" s="72"/>
    </row>
    <row r="56" ht="15.75" customHeight="1">
      <c r="A56" s="72"/>
      <c r="B56" s="72"/>
      <c r="C56" s="72"/>
      <c r="D56" s="74"/>
      <c r="E56" s="82"/>
      <c r="F56" s="72"/>
      <c r="G56" s="77"/>
      <c r="H56" s="72"/>
      <c r="I56" s="72"/>
      <c r="J56" s="72"/>
      <c r="K56" s="72"/>
    </row>
    <row r="57" ht="15.75" customHeight="1">
      <c r="A57" s="72"/>
      <c r="B57" s="72"/>
      <c r="C57" s="72"/>
      <c r="D57" s="74"/>
      <c r="E57" s="82"/>
      <c r="F57" s="72"/>
      <c r="G57" s="77"/>
      <c r="H57" s="72"/>
      <c r="I57" s="72"/>
      <c r="J57" s="72"/>
      <c r="K57" s="72"/>
    </row>
    <row r="58" ht="15.75" customHeight="1">
      <c r="A58" s="72"/>
      <c r="B58" s="72"/>
      <c r="C58" s="72"/>
      <c r="D58" s="74"/>
      <c r="E58" s="82"/>
      <c r="F58" s="72"/>
      <c r="G58" s="77"/>
      <c r="H58" s="72"/>
      <c r="I58" s="72"/>
      <c r="J58" s="72"/>
      <c r="K58" s="72"/>
    </row>
    <row r="59" ht="15.75" customHeight="1">
      <c r="A59" s="72"/>
      <c r="B59" s="72"/>
      <c r="C59" s="72"/>
      <c r="D59" s="74"/>
      <c r="E59" s="82"/>
      <c r="F59" s="72"/>
      <c r="G59" s="77"/>
      <c r="H59" s="72"/>
      <c r="I59" s="72"/>
      <c r="J59" s="72"/>
      <c r="K59" s="72"/>
    </row>
    <row r="60" ht="15.75" customHeight="1">
      <c r="A60" s="72"/>
      <c r="B60" s="72"/>
      <c r="C60" s="72"/>
      <c r="D60" s="74"/>
      <c r="E60" s="82"/>
      <c r="F60" s="72"/>
      <c r="G60" s="77"/>
      <c r="H60" s="72"/>
      <c r="I60" s="72"/>
      <c r="J60" s="72"/>
      <c r="K60" s="72"/>
    </row>
    <row r="61" ht="15.75" customHeight="1">
      <c r="A61" s="72"/>
      <c r="B61" s="72"/>
      <c r="C61" s="72"/>
      <c r="D61" s="74"/>
      <c r="E61" s="82"/>
      <c r="F61" s="72"/>
      <c r="G61" s="77"/>
      <c r="H61" s="72"/>
      <c r="I61" s="72"/>
      <c r="J61" s="72"/>
      <c r="K61" s="72"/>
    </row>
    <row r="62" ht="15.75" customHeight="1">
      <c r="A62" s="72"/>
      <c r="B62" s="72"/>
      <c r="C62" s="72"/>
      <c r="D62" s="74"/>
      <c r="E62" s="82"/>
      <c r="F62" s="72"/>
      <c r="G62" s="77"/>
      <c r="H62" s="72"/>
      <c r="I62" s="72"/>
      <c r="J62" s="72"/>
      <c r="K62" s="72"/>
    </row>
    <row r="63" ht="15.75" customHeight="1">
      <c r="A63" s="72"/>
      <c r="B63" s="72"/>
      <c r="C63" s="72"/>
      <c r="D63" s="74"/>
      <c r="E63" s="82"/>
      <c r="F63" s="72"/>
      <c r="G63" s="77"/>
      <c r="H63" s="72"/>
      <c r="I63" s="72"/>
      <c r="J63" s="72"/>
      <c r="K63" s="72"/>
    </row>
    <row r="64" ht="15.75" customHeight="1">
      <c r="A64" s="72"/>
      <c r="B64" s="72"/>
      <c r="C64" s="72"/>
      <c r="D64" s="74"/>
      <c r="E64" s="82"/>
      <c r="F64" s="72"/>
      <c r="G64" s="77"/>
      <c r="H64" s="72"/>
      <c r="I64" s="72"/>
      <c r="J64" s="72"/>
      <c r="K64" s="72"/>
    </row>
    <row r="65" ht="15.75" customHeight="1">
      <c r="A65" s="72"/>
      <c r="B65" s="72"/>
      <c r="C65" s="72"/>
      <c r="D65" s="74"/>
      <c r="E65" s="82"/>
      <c r="F65" s="72"/>
      <c r="G65" s="77"/>
      <c r="H65" s="72"/>
      <c r="I65" s="72"/>
      <c r="J65" s="72"/>
      <c r="K65" s="72"/>
    </row>
    <row r="66" ht="15.75" customHeight="1">
      <c r="A66" s="72"/>
      <c r="B66" s="72"/>
      <c r="C66" s="72"/>
      <c r="D66" s="74"/>
      <c r="E66" s="82"/>
      <c r="F66" s="72"/>
      <c r="G66" s="77"/>
      <c r="H66" s="72"/>
      <c r="I66" s="72"/>
      <c r="J66" s="72"/>
      <c r="K66" s="72"/>
    </row>
    <row r="67" ht="15.75" customHeight="1">
      <c r="A67" s="72"/>
      <c r="B67" s="72"/>
      <c r="C67" s="72"/>
      <c r="D67" s="74"/>
      <c r="E67" s="82"/>
      <c r="F67" s="72"/>
      <c r="G67" s="77"/>
      <c r="H67" s="72"/>
      <c r="I67" s="72"/>
      <c r="J67" s="72"/>
      <c r="K67" s="72"/>
    </row>
    <row r="68" ht="15.75" customHeight="1">
      <c r="A68" s="72"/>
      <c r="B68" s="72"/>
      <c r="C68" s="72"/>
      <c r="D68" s="74"/>
      <c r="E68" s="82"/>
      <c r="F68" s="72"/>
      <c r="G68" s="77"/>
      <c r="H68" s="72"/>
      <c r="I68" s="72"/>
      <c r="J68" s="72"/>
      <c r="K68" s="72"/>
    </row>
    <row r="69" ht="15.75" customHeight="1">
      <c r="A69" s="72"/>
      <c r="B69" s="72"/>
      <c r="C69" s="72"/>
      <c r="D69" s="74"/>
      <c r="E69" s="82"/>
      <c r="F69" s="72"/>
      <c r="G69" s="77"/>
      <c r="H69" s="72"/>
      <c r="I69" s="72"/>
      <c r="J69" s="72"/>
      <c r="K69" s="72"/>
    </row>
    <row r="70" ht="15.75" customHeight="1">
      <c r="A70" s="72"/>
      <c r="B70" s="72"/>
      <c r="C70" s="72"/>
      <c r="D70" s="74"/>
      <c r="E70" s="82"/>
      <c r="F70" s="72"/>
      <c r="G70" s="77"/>
      <c r="H70" s="72"/>
      <c r="I70" s="72"/>
      <c r="J70" s="72"/>
      <c r="K70" s="72"/>
    </row>
    <row r="71" ht="15.75" customHeight="1">
      <c r="A71" s="72"/>
      <c r="B71" s="72"/>
      <c r="C71" s="72"/>
      <c r="D71" s="74"/>
      <c r="E71" s="82"/>
      <c r="F71" s="72"/>
      <c r="G71" s="77"/>
      <c r="H71" s="72"/>
      <c r="I71" s="72"/>
      <c r="J71" s="72"/>
      <c r="K71" s="72"/>
    </row>
    <row r="72" ht="15.75" customHeight="1">
      <c r="A72" s="72"/>
      <c r="B72" s="72"/>
      <c r="C72" s="72"/>
      <c r="D72" s="74"/>
      <c r="E72" s="82"/>
      <c r="F72" s="72"/>
      <c r="G72" s="77"/>
      <c r="H72" s="72"/>
      <c r="I72" s="72"/>
      <c r="J72" s="72"/>
      <c r="K72" s="72"/>
    </row>
    <row r="73" ht="15.75" customHeight="1">
      <c r="A73" s="72"/>
      <c r="B73" s="72"/>
      <c r="C73" s="72"/>
      <c r="D73" s="74"/>
      <c r="E73" s="82"/>
      <c r="F73" s="72"/>
      <c r="G73" s="77"/>
      <c r="H73" s="72"/>
      <c r="I73" s="72"/>
      <c r="J73" s="72"/>
      <c r="K73" s="72"/>
    </row>
    <row r="74" ht="15.75" customHeight="1">
      <c r="A74" s="72"/>
      <c r="B74" s="72"/>
      <c r="C74" s="72"/>
      <c r="D74" s="74"/>
      <c r="E74" s="82"/>
      <c r="F74" s="72"/>
      <c r="G74" s="77"/>
      <c r="H74" s="72"/>
      <c r="I74" s="72"/>
      <c r="J74" s="72"/>
      <c r="K74" s="72"/>
    </row>
    <row r="75" ht="15.75" customHeight="1">
      <c r="A75" s="72"/>
      <c r="B75" s="72"/>
      <c r="C75" s="72"/>
      <c r="D75" s="74"/>
      <c r="E75" s="82"/>
      <c r="F75" s="72"/>
      <c r="G75" s="77"/>
      <c r="H75" s="72"/>
      <c r="I75" s="72"/>
      <c r="J75" s="72"/>
      <c r="K75" s="72"/>
    </row>
    <row r="76" ht="15.75" customHeight="1">
      <c r="A76" s="72"/>
      <c r="B76" s="72"/>
      <c r="C76" s="72"/>
      <c r="D76" s="74"/>
      <c r="E76" s="82"/>
      <c r="F76" s="72"/>
      <c r="G76" s="77"/>
      <c r="H76" s="72"/>
      <c r="I76" s="72"/>
      <c r="J76" s="72"/>
      <c r="K76" s="72"/>
    </row>
    <row r="77" ht="15.75" customHeight="1">
      <c r="A77" s="72"/>
      <c r="B77" s="72"/>
      <c r="C77" s="72"/>
      <c r="D77" s="74"/>
      <c r="E77" s="82"/>
      <c r="F77" s="72"/>
      <c r="G77" s="77"/>
      <c r="H77" s="72"/>
      <c r="I77" s="72"/>
      <c r="J77" s="72"/>
      <c r="K77" s="72"/>
    </row>
    <row r="78" ht="15.75" customHeight="1">
      <c r="A78" s="72"/>
      <c r="B78" s="72"/>
      <c r="C78" s="72"/>
      <c r="D78" s="74"/>
      <c r="E78" s="82"/>
      <c r="F78" s="72"/>
      <c r="G78" s="77"/>
      <c r="H78" s="72"/>
      <c r="I78" s="72"/>
      <c r="J78" s="72"/>
      <c r="K78" s="72"/>
    </row>
    <row r="79" ht="15.75" customHeight="1">
      <c r="A79" s="72"/>
      <c r="B79" s="72"/>
      <c r="C79" s="72"/>
      <c r="D79" s="74"/>
      <c r="E79" s="82"/>
      <c r="F79" s="72"/>
      <c r="G79" s="77"/>
      <c r="H79" s="72"/>
      <c r="I79" s="72"/>
      <c r="J79" s="72"/>
      <c r="K79" s="72"/>
    </row>
    <row r="80" ht="15.75" customHeight="1">
      <c r="A80" s="72"/>
      <c r="B80" s="72"/>
      <c r="C80" s="72"/>
      <c r="D80" s="74"/>
      <c r="E80" s="82"/>
      <c r="F80" s="72"/>
      <c r="G80" s="77"/>
      <c r="H80" s="72"/>
      <c r="I80" s="72"/>
      <c r="J80" s="72"/>
      <c r="K80" s="72"/>
    </row>
    <row r="81" ht="15.75" customHeight="1">
      <c r="A81" s="72"/>
      <c r="B81" s="72"/>
      <c r="C81" s="72"/>
      <c r="D81" s="74"/>
      <c r="E81" s="82"/>
      <c r="F81" s="72"/>
      <c r="G81" s="77"/>
      <c r="H81" s="72"/>
      <c r="I81" s="72"/>
      <c r="J81" s="72"/>
      <c r="K81" s="72"/>
    </row>
    <row r="82" ht="15.75" customHeight="1">
      <c r="A82" s="72"/>
      <c r="B82" s="72"/>
      <c r="C82" s="72"/>
      <c r="D82" s="74"/>
      <c r="E82" s="82"/>
      <c r="F82" s="72"/>
      <c r="G82" s="77"/>
      <c r="H82" s="72"/>
      <c r="I82" s="72"/>
      <c r="J82" s="72"/>
      <c r="K82" s="72"/>
    </row>
    <row r="83" ht="15.75" customHeight="1">
      <c r="A83" s="72"/>
      <c r="B83" s="72"/>
      <c r="C83" s="72"/>
      <c r="D83" s="74"/>
      <c r="E83" s="82"/>
      <c r="F83" s="72"/>
      <c r="G83" s="77"/>
      <c r="H83" s="72"/>
      <c r="I83" s="72"/>
      <c r="J83" s="72"/>
      <c r="K83" s="72"/>
    </row>
    <row r="84" ht="15.75" customHeight="1">
      <c r="A84" s="72"/>
      <c r="B84" s="72"/>
      <c r="C84" s="72"/>
      <c r="D84" s="74"/>
      <c r="E84" s="82"/>
      <c r="F84" s="72"/>
      <c r="G84" s="77"/>
      <c r="H84" s="72"/>
      <c r="I84" s="72"/>
      <c r="J84" s="72"/>
      <c r="K84" s="72"/>
    </row>
    <row r="85" ht="15.75" customHeight="1">
      <c r="A85" s="72"/>
      <c r="B85" s="72"/>
      <c r="C85" s="72"/>
      <c r="D85" s="74"/>
      <c r="E85" s="82"/>
      <c r="F85" s="72"/>
      <c r="G85" s="77"/>
      <c r="H85" s="72"/>
      <c r="I85" s="72"/>
      <c r="J85" s="72"/>
      <c r="K85" s="72"/>
    </row>
    <row r="86" ht="15.75" customHeight="1">
      <c r="A86" s="72"/>
      <c r="B86" s="72"/>
      <c r="C86" s="72"/>
      <c r="D86" s="74"/>
      <c r="E86" s="82"/>
      <c r="F86" s="72"/>
      <c r="G86" s="77"/>
      <c r="H86" s="72"/>
      <c r="I86" s="72"/>
      <c r="J86" s="72"/>
      <c r="K86" s="72"/>
    </row>
    <row r="87" ht="15.75" customHeight="1">
      <c r="A87" s="72"/>
      <c r="B87" s="72"/>
      <c r="C87" s="72"/>
      <c r="D87" s="74"/>
      <c r="E87" s="82"/>
      <c r="F87" s="72"/>
      <c r="G87" s="77"/>
      <c r="H87" s="72"/>
      <c r="I87" s="72"/>
      <c r="J87" s="72"/>
      <c r="K87" s="72"/>
    </row>
    <row r="88" ht="15.75" customHeight="1">
      <c r="A88" s="72"/>
      <c r="B88" s="72"/>
      <c r="C88" s="72"/>
      <c r="D88" s="74"/>
      <c r="E88" s="82"/>
      <c r="F88" s="72"/>
      <c r="G88" s="77"/>
      <c r="H88" s="72"/>
      <c r="I88" s="72"/>
      <c r="J88" s="72"/>
      <c r="K88" s="72"/>
    </row>
    <row r="89" ht="15.75" customHeight="1">
      <c r="A89" s="72"/>
      <c r="B89" s="72"/>
      <c r="C89" s="72"/>
      <c r="D89" s="74"/>
      <c r="E89" s="82"/>
      <c r="F89" s="72"/>
      <c r="G89" s="77"/>
      <c r="H89" s="72"/>
      <c r="I89" s="72"/>
      <c r="J89" s="72"/>
      <c r="K89" s="72"/>
    </row>
    <row r="90" ht="15.75" customHeight="1">
      <c r="A90" s="72"/>
      <c r="B90" s="72"/>
      <c r="C90" s="72"/>
      <c r="D90" s="74"/>
      <c r="E90" s="82"/>
      <c r="F90" s="72"/>
      <c r="G90" s="77"/>
      <c r="H90" s="72"/>
      <c r="I90" s="72"/>
      <c r="J90" s="72"/>
      <c r="K90" s="72"/>
    </row>
    <row r="91" ht="15.75" customHeight="1">
      <c r="A91" s="72"/>
      <c r="B91" s="72"/>
      <c r="C91" s="72"/>
      <c r="D91" s="74"/>
      <c r="E91" s="82"/>
      <c r="F91" s="72"/>
      <c r="G91" s="77"/>
      <c r="H91" s="72"/>
      <c r="I91" s="72"/>
      <c r="J91" s="72"/>
      <c r="K91" s="72"/>
    </row>
    <row r="92" ht="15.75" customHeight="1">
      <c r="A92" s="72"/>
      <c r="B92" s="72"/>
      <c r="C92" s="72"/>
      <c r="D92" s="74"/>
      <c r="E92" s="82"/>
      <c r="F92" s="72"/>
      <c r="G92" s="77"/>
      <c r="H92" s="72"/>
      <c r="I92" s="72"/>
      <c r="J92" s="72"/>
      <c r="K92" s="72"/>
    </row>
    <row r="93" ht="15.75" customHeight="1">
      <c r="A93" s="72"/>
      <c r="B93" s="72"/>
      <c r="C93" s="72"/>
      <c r="D93" s="74"/>
      <c r="E93" s="82"/>
      <c r="F93" s="72"/>
      <c r="G93" s="77"/>
      <c r="H93" s="72"/>
      <c r="I93" s="72"/>
      <c r="J93" s="72"/>
      <c r="K93" s="72"/>
    </row>
    <row r="94" ht="15.75" customHeight="1">
      <c r="A94" s="72"/>
      <c r="B94" s="72"/>
      <c r="C94" s="72"/>
      <c r="D94" s="74"/>
      <c r="E94" s="82"/>
      <c r="F94" s="72"/>
      <c r="G94" s="77"/>
      <c r="H94" s="72"/>
      <c r="I94" s="72"/>
      <c r="J94" s="72"/>
      <c r="K94" s="72"/>
    </row>
    <row r="95" ht="15.75" customHeight="1">
      <c r="A95" s="72"/>
      <c r="B95" s="72"/>
      <c r="C95" s="72"/>
      <c r="D95" s="74"/>
      <c r="E95" s="82"/>
      <c r="F95" s="72"/>
      <c r="G95" s="77"/>
      <c r="H95" s="72"/>
      <c r="I95" s="72"/>
      <c r="J95" s="72"/>
      <c r="K95" s="72"/>
    </row>
    <row r="96" ht="15.75" customHeight="1">
      <c r="A96" s="72"/>
      <c r="B96" s="72"/>
      <c r="C96" s="72"/>
      <c r="D96" s="74"/>
      <c r="E96" s="82"/>
      <c r="F96" s="72"/>
      <c r="G96" s="77"/>
      <c r="H96" s="72"/>
      <c r="I96" s="72"/>
      <c r="J96" s="72"/>
      <c r="K96" s="72"/>
    </row>
    <row r="97" ht="15.75" customHeight="1">
      <c r="A97" s="72"/>
      <c r="B97" s="72"/>
      <c r="C97" s="72"/>
      <c r="D97" s="74"/>
      <c r="E97" s="82"/>
      <c r="F97" s="72"/>
      <c r="G97" s="77"/>
      <c r="H97" s="72"/>
      <c r="I97" s="72"/>
      <c r="J97" s="72"/>
      <c r="K97" s="72"/>
    </row>
    <row r="98" ht="15.75" customHeight="1">
      <c r="A98" s="72"/>
      <c r="B98" s="72"/>
      <c r="C98" s="72"/>
      <c r="D98" s="74"/>
      <c r="E98" s="82"/>
      <c r="F98" s="72"/>
      <c r="G98" s="77"/>
      <c r="H98" s="72"/>
      <c r="I98" s="72"/>
      <c r="J98" s="72"/>
      <c r="K98" s="72"/>
    </row>
    <row r="99" ht="15.75" customHeight="1">
      <c r="A99" s="72"/>
      <c r="B99" s="72"/>
      <c r="C99" s="72"/>
      <c r="D99" s="74"/>
      <c r="E99" s="82"/>
      <c r="F99" s="72"/>
      <c r="G99" s="77"/>
      <c r="H99" s="72"/>
      <c r="I99" s="72"/>
      <c r="J99" s="72"/>
      <c r="K99" s="72"/>
    </row>
    <row r="100" ht="15.75" customHeight="1">
      <c r="A100" s="72"/>
      <c r="B100" s="72"/>
      <c r="C100" s="72"/>
      <c r="D100" s="74"/>
      <c r="E100" s="82"/>
      <c r="F100" s="72"/>
      <c r="G100" s="77"/>
      <c r="H100" s="72"/>
      <c r="I100" s="72"/>
      <c r="J100" s="72"/>
      <c r="K100" s="72"/>
    </row>
    <row r="101" ht="15.75" customHeight="1">
      <c r="A101" s="72"/>
      <c r="B101" s="72"/>
      <c r="C101" s="72"/>
      <c r="D101" s="74"/>
      <c r="E101" s="82"/>
      <c r="F101" s="72"/>
      <c r="G101" s="77"/>
      <c r="H101" s="72"/>
      <c r="I101" s="72"/>
      <c r="J101" s="72"/>
      <c r="K101" s="72"/>
    </row>
    <row r="102" ht="15.75" customHeight="1">
      <c r="A102" s="72"/>
      <c r="B102" s="72"/>
      <c r="C102" s="72"/>
      <c r="D102" s="74"/>
      <c r="E102" s="82"/>
      <c r="F102" s="72"/>
      <c r="G102" s="77"/>
      <c r="H102" s="72"/>
      <c r="I102" s="72"/>
      <c r="J102" s="72"/>
      <c r="K102" s="72"/>
    </row>
    <row r="103" ht="15.75" customHeight="1">
      <c r="A103" s="72"/>
      <c r="B103" s="72"/>
      <c r="C103" s="72"/>
      <c r="D103" s="74"/>
      <c r="E103" s="82"/>
      <c r="F103" s="72"/>
      <c r="G103" s="77"/>
      <c r="H103" s="72"/>
      <c r="I103" s="72"/>
      <c r="J103" s="72"/>
      <c r="K103" s="72"/>
    </row>
    <row r="104" ht="15.75" customHeight="1">
      <c r="A104" s="72"/>
      <c r="B104" s="72"/>
      <c r="C104" s="72"/>
      <c r="D104" s="74"/>
      <c r="E104" s="82"/>
      <c r="F104" s="72"/>
      <c r="G104" s="77"/>
      <c r="H104" s="72"/>
      <c r="I104" s="72"/>
      <c r="J104" s="72"/>
      <c r="K104" s="72"/>
    </row>
    <row r="105" ht="15.75" customHeight="1">
      <c r="A105" s="72"/>
      <c r="B105" s="72"/>
      <c r="C105" s="72"/>
      <c r="D105" s="74"/>
      <c r="E105" s="82"/>
      <c r="F105" s="72"/>
      <c r="G105" s="77"/>
      <c r="H105" s="72"/>
      <c r="I105" s="72"/>
      <c r="J105" s="72"/>
      <c r="K105" s="72"/>
    </row>
    <row r="106" ht="15.75" customHeight="1">
      <c r="A106" s="72"/>
      <c r="B106" s="72"/>
      <c r="C106" s="72"/>
      <c r="D106" s="74"/>
      <c r="E106" s="82"/>
      <c r="F106" s="72"/>
      <c r="G106" s="77"/>
      <c r="H106" s="72"/>
      <c r="I106" s="72"/>
      <c r="J106" s="72"/>
      <c r="K106" s="72"/>
    </row>
    <row r="107" ht="15.75" customHeight="1">
      <c r="A107" s="72"/>
      <c r="B107" s="72"/>
      <c r="C107" s="72"/>
      <c r="D107" s="74"/>
      <c r="E107" s="82"/>
      <c r="F107" s="72"/>
      <c r="G107" s="77"/>
      <c r="H107" s="72"/>
      <c r="I107" s="72"/>
      <c r="J107" s="72"/>
      <c r="K107" s="72"/>
    </row>
    <row r="108" ht="15.75" customHeight="1">
      <c r="A108" s="72"/>
      <c r="B108" s="72"/>
      <c r="C108" s="72"/>
      <c r="D108" s="74"/>
      <c r="E108" s="82"/>
      <c r="F108" s="72"/>
      <c r="G108" s="77"/>
      <c r="H108" s="72"/>
      <c r="I108" s="72"/>
      <c r="J108" s="72"/>
      <c r="K108" s="72"/>
    </row>
    <row r="109" ht="15.75" customHeight="1">
      <c r="A109" s="72"/>
      <c r="B109" s="72"/>
      <c r="C109" s="72"/>
      <c r="D109" s="74"/>
      <c r="E109" s="82"/>
      <c r="F109" s="72"/>
      <c r="G109" s="77"/>
      <c r="H109" s="72"/>
      <c r="I109" s="72"/>
      <c r="J109" s="72"/>
      <c r="K109" s="72"/>
    </row>
    <row r="110" ht="15.75" customHeight="1">
      <c r="A110" s="72"/>
      <c r="B110" s="72"/>
      <c r="C110" s="72"/>
      <c r="D110" s="74"/>
      <c r="E110" s="82"/>
      <c r="F110" s="72"/>
      <c r="G110" s="77"/>
      <c r="H110" s="72"/>
      <c r="I110" s="72"/>
      <c r="J110" s="72"/>
      <c r="K110" s="72"/>
    </row>
    <row r="111" ht="15.75" customHeight="1">
      <c r="A111" s="72"/>
      <c r="B111" s="72"/>
      <c r="C111" s="72"/>
      <c r="D111" s="74"/>
      <c r="E111" s="82"/>
      <c r="F111" s="72"/>
      <c r="G111" s="77"/>
      <c r="H111" s="72"/>
      <c r="I111" s="72"/>
      <c r="J111" s="72"/>
      <c r="K111" s="72"/>
    </row>
    <row r="112" ht="15.75" customHeight="1">
      <c r="A112" s="72"/>
      <c r="B112" s="72"/>
      <c r="C112" s="72"/>
      <c r="D112" s="74"/>
      <c r="E112" s="82"/>
      <c r="F112" s="72"/>
      <c r="G112" s="77"/>
      <c r="H112" s="72"/>
      <c r="I112" s="72"/>
      <c r="J112" s="72"/>
      <c r="K112" s="72"/>
    </row>
    <row r="113" ht="15.75" customHeight="1">
      <c r="A113" s="72"/>
      <c r="B113" s="72"/>
      <c r="C113" s="72"/>
      <c r="D113" s="74"/>
      <c r="E113" s="82"/>
      <c r="F113" s="72"/>
      <c r="G113" s="77"/>
      <c r="H113" s="72"/>
      <c r="I113" s="72"/>
      <c r="J113" s="72"/>
      <c r="K113" s="72"/>
    </row>
    <row r="114" ht="15.75" customHeight="1">
      <c r="A114" s="72"/>
      <c r="B114" s="72"/>
      <c r="C114" s="72"/>
      <c r="D114" s="74"/>
      <c r="E114" s="82"/>
      <c r="F114" s="72"/>
      <c r="G114" s="77"/>
      <c r="H114" s="72"/>
      <c r="I114" s="72"/>
      <c r="J114" s="72"/>
      <c r="K114" s="72"/>
    </row>
    <row r="115" ht="15.75" customHeight="1">
      <c r="A115" s="72"/>
      <c r="B115" s="72"/>
      <c r="C115" s="72"/>
      <c r="D115" s="74"/>
      <c r="E115" s="82"/>
      <c r="F115" s="72"/>
      <c r="G115" s="77"/>
      <c r="H115" s="72"/>
      <c r="I115" s="72"/>
      <c r="J115" s="72"/>
      <c r="K115" s="72"/>
    </row>
    <row r="116" ht="15.75" customHeight="1">
      <c r="A116" s="72"/>
      <c r="B116" s="72"/>
      <c r="C116" s="72"/>
      <c r="D116" s="74"/>
      <c r="E116" s="82"/>
      <c r="F116" s="72"/>
      <c r="G116" s="77"/>
      <c r="H116" s="72"/>
      <c r="I116" s="72"/>
      <c r="J116" s="72"/>
      <c r="K116" s="72"/>
    </row>
    <row r="117" ht="15.75" customHeight="1">
      <c r="A117" s="72"/>
      <c r="B117" s="72"/>
      <c r="C117" s="72"/>
      <c r="D117" s="74"/>
      <c r="E117" s="82"/>
      <c r="F117" s="72"/>
      <c r="G117" s="77"/>
      <c r="H117" s="72"/>
      <c r="I117" s="72"/>
      <c r="J117" s="72"/>
      <c r="K117" s="72"/>
    </row>
    <row r="118" ht="15.75" customHeight="1">
      <c r="A118" s="72"/>
      <c r="B118" s="72"/>
      <c r="C118" s="72"/>
      <c r="D118" s="74"/>
      <c r="E118" s="82"/>
      <c r="F118" s="72"/>
      <c r="G118" s="77"/>
      <c r="H118" s="72"/>
      <c r="I118" s="72"/>
      <c r="J118" s="72"/>
      <c r="K118" s="72"/>
    </row>
    <row r="119" ht="15.75" customHeight="1">
      <c r="A119" s="72"/>
      <c r="B119" s="72"/>
      <c r="C119" s="72"/>
      <c r="D119" s="74"/>
      <c r="E119" s="82"/>
      <c r="F119" s="72"/>
      <c r="G119" s="77"/>
      <c r="H119" s="72"/>
      <c r="I119" s="72"/>
      <c r="J119" s="72"/>
      <c r="K119" s="72"/>
    </row>
    <row r="120" ht="15.75" customHeight="1">
      <c r="A120" s="72"/>
      <c r="B120" s="72"/>
      <c r="C120" s="72"/>
      <c r="D120" s="74"/>
      <c r="E120" s="82"/>
      <c r="F120" s="72"/>
      <c r="G120" s="77"/>
      <c r="H120" s="72"/>
      <c r="I120" s="72"/>
      <c r="J120" s="72"/>
      <c r="K120" s="72"/>
    </row>
    <row r="121" ht="15.75" customHeight="1">
      <c r="A121" s="72"/>
      <c r="B121" s="72"/>
      <c r="C121" s="72"/>
      <c r="D121" s="74"/>
      <c r="E121" s="82"/>
      <c r="F121" s="72"/>
      <c r="G121" s="77"/>
      <c r="H121" s="72"/>
      <c r="I121" s="72"/>
      <c r="J121" s="72"/>
      <c r="K121" s="72"/>
    </row>
    <row r="122" ht="15.75" customHeight="1">
      <c r="A122" s="72"/>
      <c r="B122" s="72"/>
      <c r="C122" s="72"/>
      <c r="D122" s="74"/>
      <c r="E122" s="82"/>
      <c r="F122" s="72"/>
      <c r="G122" s="77"/>
      <c r="H122" s="72"/>
      <c r="I122" s="72"/>
      <c r="J122" s="72"/>
      <c r="K122" s="72"/>
    </row>
    <row r="123" ht="15.75" customHeight="1">
      <c r="A123" s="72"/>
      <c r="B123" s="72"/>
      <c r="C123" s="72"/>
      <c r="D123" s="74"/>
      <c r="E123" s="82"/>
      <c r="F123" s="72"/>
      <c r="G123" s="77"/>
      <c r="H123" s="72"/>
      <c r="I123" s="72"/>
      <c r="J123" s="72"/>
      <c r="K123" s="72"/>
    </row>
    <row r="124" ht="15.75" customHeight="1">
      <c r="A124" s="72"/>
      <c r="B124" s="72"/>
      <c r="C124" s="72"/>
      <c r="D124" s="74"/>
      <c r="E124" s="82"/>
      <c r="F124" s="72"/>
      <c r="G124" s="77"/>
      <c r="H124" s="72"/>
      <c r="I124" s="72"/>
      <c r="J124" s="72"/>
      <c r="K124" s="72"/>
    </row>
    <row r="125" ht="15.75" customHeight="1">
      <c r="A125" s="72"/>
      <c r="B125" s="72"/>
      <c r="C125" s="72"/>
      <c r="D125" s="74"/>
      <c r="E125" s="82"/>
      <c r="F125" s="72"/>
      <c r="G125" s="77"/>
      <c r="H125" s="72"/>
      <c r="I125" s="72"/>
      <c r="J125" s="72"/>
      <c r="K125" s="72"/>
    </row>
    <row r="126" ht="15.75" customHeight="1">
      <c r="A126" s="72"/>
      <c r="B126" s="72"/>
      <c r="C126" s="72"/>
      <c r="D126" s="74"/>
      <c r="E126" s="82"/>
      <c r="F126" s="72"/>
      <c r="G126" s="77"/>
      <c r="H126" s="72"/>
      <c r="I126" s="72"/>
      <c r="J126" s="72"/>
      <c r="K126" s="72"/>
    </row>
    <row r="127" ht="15.75" customHeight="1">
      <c r="A127" s="72"/>
      <c r="B127" s="72"/>
      <c r="C127" s="72"/>
      <c r="D127" s="74"/>
      <c r="E127" s="82"/>
      <c r="F127" s="72"/>
      <c r="G127" s="77"/>
      <c r="H127" s="72"/>
      <c r="I127" s="72"/>
      <c r="J127" s="72"/>
      <c r="K127" s="72"/>
    </row>
    <row r="128" ht="15.75" customHeight="1">
      <c r="A128" s="72"/>
      <c r="B128" s="72"/>
      <c r="C128" s="72"/>
      <c r="D128" s="74"/>
      <c r="E128" s="82"/>
      <c r="F128" s="72"/>
      <c r="G128" s="77"/>
      <c r="H128" s="72"/>
      <c r="I128" s="72"/>
      <c r="J128" s="72"/>
      <c r="K128" s="72"/>
    </row>
    <row r="129" ht="15.75" customHeight="1">
      <c r="A129" s="72"/>
      <c r="B129" s="72"/>
      <c r="C129" s="72"/>
      <c r="D129" s="74"/>
      <c r="E129" s="82"/>
      <c r="F129" s="72"/>
      <c r="G129" s="77"/>
      <c r="H129" s="72"/>
      <c r="I129" s="72"/>
      <c r="J129" s="72"/>
      <c r="K129" s="72"/>
    </row>
    <row r="130" ht="15.75" customHeight="1">
      <c r="A130" s="72"/>
      <c r="B130" s="72"/>
      <c r="C130" s="72"/>
      <c r="D130" s="74"/>
      <c r="E130" s="82"/>
      <c r="F130" s="72"/>
      <c r="G130" s="77"/>
      <c r="H130" s="72"/>
      <c r="I130" s="72"/>
      <c r="J130" s="72"/>
      <c r="K130" s="72"/>
    </row>
    <row r="131" ht="15.75" customHeight="1">
      <c r="A131" s="72"/>
      <c r="B131" s="72"/>
      <c r="C131" s="72"/>
      <c r="D131" s="74"/>
      <c r="E131" s="82"/>
      <c r="F131" s="72"/>
      <c r="G131" s="77"/>
      <c r="H131" s="72"/>
      <c r="I131" s="72"/>
      <c r="J131" s="72"/>
      <c r="K131" s="72"/>
    </row>
    <row r="132" ht="15.75" customHeight="1">
      <c r="A132" s="72"/>
      <c r="B132" s="72"/>
      <c r="C132" s="72"/>
      <c r="D132" s="74"/>
      <c r="E132" s="82"/>
      <c r="F132" s="72"/>
      <c r="G132" s="77"/>
      <c r="H132" s="72"/>
      <c r="I132" s="72"/>
      <c r="J132" s="72"/>
      <c r="K132" s="72"/>
    </row>
    <row r="133" ht="15.75" customHeight="1">
      <c r="A133" s="72"/>
      <c r="B133" s="72"/>
      <c r="C133" s="72"/>
      <c r="D133" s="74"/>
      <c r="E133" s="82"/>
      <c r="F133" s="72"/>
      <c r="G133" s="77"/>
      <c r="H133" s="72"/>
      <c r="I133" s="72"/>
      <c r="J133" s="72"/>
      <c r="K133" s="72"/>
    </row>
    <row r="134" ht="15.75" customHeight="1">
      <c r="A134" s="72"/>
      <c r="B134" s="72"/>
      <c r="C134" s="72"/>
      <c r="D134" s="74"/>
      <c r="E134" s="82"/>
      <c r="F134" s="72"/>
      <c r="G134" s="77"/>
      <c r="H134" s="72"/>
      <c r="I134" s="72"/>
      <c r="J134" s="72"/>
      <c r="K134" s="72"/>
    </row>
    <row r="135" ht="15.75" customHeight="1">
      <c r="A135" s="72"/>
      <c r="B135" s="72"/>
      <c r="C135" s="72"/>
      <c r="D135" s="74"/>
      <c r="E135" s="82"/>
      <c r="F135" s="72"/>
      <c r="G135" s="77"/>
      <c r="H135" s="72"/>
      <c r="I135" s="72"/>
      <c r="J135" s="72"/>
      <c r="K135" s="72"/>
    </row>
    <row r="136" ht="15.75" customHeight="1">
      <c r="A136" s="72"/>
      <c r="B136" s="72"/>
      <c r="C136" s="72"/>
      <c r="D136" s="74"/>
      <c r="E136" s="82"/>
      <c r="F136" s="72"/>
      <c r="G136" s="77"/>
      <c r="H136" s="72"/>
      <c r="I136" s="72"/>
      <c r="J136" s="72"/>
      <c r="K136" s="72"/>
    </row>
    <row r="137" ht="15.75" customHeight="1">
      <c r="A137" s="72"/>
      <c r="B137" s="72"/>
      <c r="C137" s="72"/>
      <c r="D137" s="74"/>
      <c r="E137" s="82"/>
      <c r="F137" s="72"/>
      <c r="G137" s="77"/>
      <c r="H137" s="72"/>
      <c r="I137" s="72"/>
      <c r="J137" s="72"/>
      <c r="K137" s="72"/>
    </row>
    <row r="138" ht="15.75" customHeight="1">
      <c r="A138" s="72"/>
      <c r="B138" s="72"/>
      <c r="C138" s="72"/>
      <c r="D138" s="74"/>
      <c r="E138" s="82"/>
      <c r="F138" s="72"/>
      <c r="G138" s="77"/>
      <c r="H138" s="72"/>
      <c r="I138" s="72"/>
      <c r="J138" s="72"/>
      <c r="K138" s="72"/>
    </row>
    <row r="139" ht="15.75" customHeight="1">
      <c r="A139" s="72"/>
      <c r="B139" s="72"/>
      <c r="C139" s="72"/>
      <c r="D139" s="74"/>
      <c r="E139" s="82"/>
      <c r="F139" s="72"/>
      <c r="G139" s="77"/>
      <c r="H139" s="72"/>
      <c r="I139" s="72"/>
      <c r="J139" s="72"/>
      <c r="K139" s="72"/>
    </row>
    <row r="140" ht="15.75" customHeight="1">
      <c r="A140" s="72"/>
      <c r="B140" s="72"/>
      <c r="C140" s="72"/>
      <c r="D140" s="74"/>
      <c r="E140" s="82"/>
      <c r="F140" s="72"/>
      <c r="G140" s="77"/>
      <c r="H140" s="72"/>
      <c r="I140" s="72"/>
      <c r="J140" s="72"/>
      <c r="K140" s="72"/>
    </row>
    <row r="141" ht="15.75" customHeight="1">
      <c r="A141" s="72"/>
      <c r="B141" s="72"/>
      <c r="C141" s="72"/>
      <c r="D141" s="74"/>
      <c r="E141" s="82"/>
      <c r="F141" s="72"/>
      <c r="G141" s="77"/>
      <c r="H141" s="72"/>
      <c r="I141" s="72"/>
      <c r="J141" s="72"/>
      <c r="K141" s="72"/>
    </row>
    <row r="142" ht="15.75" customHeight="1">
      <c r="A142" s="72"/>
      <c r="B142" s="72"/>
      <c r="C142" s="72"/>
      <c r="D142" s="74"/>
      <c r="E142" s="82"/>
      <c r="F142" s="72"/>
      <c r="G142" s="77"/>
      <c r="H142" s="72"/>
      <c r="I142" s="72"/>
      <c r="J142" s="72"/>
      <c r="K142" s="72"/>
    </row>
    <row r="143" ht="15.75" customHeight="1">
      <c r="A143" s="72"/>
      <c r="B143" s="72"/>
      <c r="C143" s="72"/>
      <c r="D143" s="74"/>
      <c r="E143" s="82"/>
      <c r="F143" s="72"/>
      <c r="G143" s="77"/>
      <c r="H143" s="72"/>
      <c r="I143" s="72"/>
      <c r="J143" s="72"/>
      <c r="K143" s="72"/>
    </row>
    <row r="144" ht="15.75" customHeight="1">
      <c r="A144" s="72"/>
      <c r="B144" s="72"/>
      <c r="C144" s="72"/>
      <c r="D144" s="74"/>
      <c r="E144" s="82"/>
      <c r="F144" s="72"/>
      <c r="G144" s="77"/>
      <c r="H144" s="72"/>
      <c r="I144" s="72"/>
      <c r="J144" s="72"/>
      <c r="K144" s="72"/>
    </row>
    <row r="145" ht="15.75" customHeight="1">
      <c r="A145" s="72"/>
      <c r="B145" s="72"/>
      <c r="C145" s="72"/>
      <c r="D145" s="74"/>
      <c r="E145" s="82"/>
      <c r="F145" s="72"/>
      <c r="G145" s="77"/>
      <c r="H145" s="72"/>
      <c r="I145" s="72"/>
      <c r="J145" s="72"/>
      <c r="K145" s="72"/>
    </row>
    <row r="146" ht="15.75" customHeight="1">
      <c r="A146" s="72"/>
      <c r="B146" s="72"/>
      <c r="C146" s="72"/>
      <c r="D146" s="74"/>
      <c r="E146" s="82"/>
      <c r="F146" s="72"/>
      <c r="G146" s="77"/>
      <c r="H146" s="72"/>
      <c r="I146" s="72"/>
      <c r="J146" s="72"/>
      <c r="K146" s="72"/>
    </row>
    <row r="147" ht="15.75" customHeight="1">
      <c r="A147" s="72"/>
      <c r="B147" s="72"/>
      <c r="C147" s="72"/>
      <c r="D147" s="74"/>
      <c r="E147" s="82"/>
      <c r="F147" s="72"/>
      <c r="G147" s="77"/>
      <c r="H147" s="72"/>
      <c r="I147" s="72"/>
      <c r="J147" s="72"/>
      <c r="K147" s="72"/>
    </row>
    <row r="148" ht="15.75" customHeight="1">
      <c r="A148" s="72"/>
      <c r="B148" s="72"/>
      <c r="C148" s="72"/>
      <c r="D148" s="74"/>
      <c r="E148" s="82"/>
      <c r="F148" s="72"/>
      <c r="G148" s="77"/>
      <c r="H148" s="72"/>
      <c r="I148" s="72"/>
      <c r="J148" s="72"/>
      <c r="K148" s="72"/>
    </row>
    <row r="149" ht="15.75" customHeight="1">
      <c r="A149" s="72"/>
      <c r="B149" s="72"/>
      <c r="C149" s="72"/>
      <c r="D149" s="74"/>
      <c r="E149" s="82"/>
      <c r="F149" s="72"/>
      <c r="G149" s="77"/>
      <c r="H149" s="72"/>
      <c r="I149" s="72"/>
      <c r="J149" s="72"/>
      <c r="K149" s="72"/>
    </row>
    <row r="150" ht="15.75" customHeight="1">
      <c r="A150" s="72"/>
      <c r="B150" s="72"/>
      <c r="C150" s="72"/>
      <c r="D150" s="74"/>
      <c r="E150" s="82"/>
      <c r="F150" s="72"/>
      <c r="G150" s="77"/>
      <c r="H150" s="72"/>
      <c r="I150" s="72"/>
      <c r="J150" s="72"/>
      <c r="K150" s="72"/>
    </row>
    <row r="151" ht="15.75" customHeight="1">
      <c r="A151" s="72"/>
      <c r="B151" s="72"/>
      <c r="C151" s="72"/>
      <c r="D151" s="74"/>
      <c r="E151" s="82"/>
      <c r="F151" s="72"/>
      <c r="G151" s="77"/>
      <c r="H151" s="72"/>
      <c r="I151" s="72"/>
      <c r="J151" s="72"/>
      <c r="K151" s="72"/>
    </row>
    <row r="152" ht="15.75" customHeight="1">
      <c r="A152" s="72"/>
      <c r="B152" s="72"/>
      <c r="C152" s="72"/>
      <c r="D152" s="74"/>
      <c r="E152" s="82"/>
      <c r="F152" s="72"/>
      <c r="G152" s="77"/>
      <c r="H152" s="72"/>
      <c r="I152" s="72"/>
      <c r="J152" s="72"/>
      <c r="K152" s="72"/>
    </row>
    <row r="153" ht="15.75" customHeight="1">
      <c r="A153" s="72"/>
      <c r="B153" s="72"/>
      <c r="C153" s="72"/>
      <c r="D153" s="74"/>
      <c r="E153" s="82"/>
      <c r="F153" s="72"/>
      <c r="G153" s="77"/>
      <c r="H153" s="72"/>
      <c r="I153" s="72"/>
      <c r="J153" s="72"/>
      <c r="K153" s="72"/>
    </row>
    <row r="154" ht="15.75" customHeight="1">
      <c r="A154" s="72"/>
      <c r="B154" s="72"/>
      <c r="C154" s="72"/>
      <c r="D154" s="74"/>
      <c r="E154" s="82"/>
      <c r="F154" s="72"/>
      <c r="G154" s="77"/>
      <c r="H154" s="72"/>
      <c r="I154" s="72"/>
      <c r="J154" s="72"/>
      <c r="K154" s="72"/>
    </row>
    <row r="155" ht="15.75" customHeight="1">
      <c r="A155" s="72"/>
      <c r="B155" s="72"/>
      <c r="C155" s="72"/>
      <c r="D155" s="74"/>
      <c r="E155" s="82"/>
      <c r="F155" s="72"/>
      <c r="G155" s="77"/>
      <c r="H155" s="72"/>
      <c r="I155" s="72"/>
      <c r="J155" s="72"/>
      <c r="K155" s="72"/>
    </row>
    <row r="156" ht="15.75" customHeight="1">
      <c r="A156" s="72"/>
      <c r="B156" s="72"/>
      <c r="C156" s="72"/>
      <c r="D156" s="74"/>
      <c r="E156" s="82"/>
      <c r="F156" s="72"/>
      <c r="G156" s="77"/>
      <c r="H156" s="72"/>
      <c r="I156" s="72"/>
      <c r="J156" s="72"/>
      <c r="K156" s="72"/>
    </row>
    <row r="157" ht="15.75" customHeight="1">
      <c r="A157" s="72"/>
      <c r="B157" s="72"/>
      <c r="C157" s="72"/>
      <c r="D157" s="74"/>
      <c r="E157" s="82"/>
      <c r="F157" s="72"/>
      <c r="G157" s="77"/>
      <c r="H157" s="72"/>
      <c r="I157" s="72"/>
      <c r="J157" s="72"/>
      <c r="K157" s="72"/>
    </row>
    <row r="158" ht="15.75" customHeight="1">
      <c r="A158" s="72"/>
      <c r="B158" s="72"/>
      <c r="C158" s="72"/>
      <c r="D158" s="74"/>
      <c r="E158" s="82"/>
      <c r="F158" s="72"/>
      <c r="G158" s="77"/>
      <c r="H158" s="72"/>
      <c r="I158" s="72"/>
      <c r="J158" s="72"/>
      <c r="K158" s="72"/>
    </row>
    <row r="159" ht="15.75" customHeight="1">
      <c r="A159" s="72"/>
      <c r="B159" s="72"/>
      <c r="C159" s="72"/>
      <c r="D159" s="74"/>
      <c r="E159" s="82"/>
      <c r="F159" s="72"/>
      <c r="G159" s="77"/>
      <c r="H159" s="72"/>
      <c r="I159" s="72"/>
      <c r="J159" s="72"/>
      <c r="K159" s="72"/>
    </row>
    <row r="160" ht="15.75" customHeight="1">
      <c r="A160" s="72"/>
      <c r="B160" s="72"/>
      <c r="C160" s="72"/>
      <c r="D160" s="74"/>
      <c r="E160" s="82"/>
      <c r="F160" s="72"/>
      <c r="G160" s="77"/>
      <c r="H160" s="72"/>
      <c r="I160" s="72"/>
      <c r="J160" s="72"/>
      <c r="K160" s="72"/>
    </row>
    <row r="161" ht="15.75" customHeight="1">
      <c r="A161" s="72"/>
      <c r="B161" s="72"/>
      <c r="C161" s="72"/>
      <c r="D161" s="74"/>
      <c r="E161" s="82"/>
      <c r="F161" s="72"/>
      <c r="G161" s="77"/>
      <c r="H161" s="72"/>
      <c r="I161" s="72"/>
      <c r="J161" s="72"/>
      <c r="K161" s="72"/>
    </row>
    <row r="162" ht="15.75" customHeight="1">
      <c r="A162" s="72"/>
      <c r="B162" s="72"/>
      <c r="C162" s="72"/>
      <c r="D162" s="74"/>
      <c r="E162" s="82"/>
      <c r="F162" s="72"/>
      <c r="G162" s="77"/>
      <c r="H162" s="72"/>
      <c r="I162" s="72"/>
      <c r="J162" s="72"/>
      <c r="K162" s="72"/>
    </row>
    <row r="163" ht="15.75" customHeight="1">
      <c r="A163" s="72"/>
      <c r="B163" s="72"/>
      <c r="C163" s="72"/>
      <c r="D163" s="74"/>
      <c r="E163" s="82"/>
      <c r="F163" s="72"/>
      <c r="G163" s="77"/>
      <c r="H163" s="72"/>
      <c r="I163" s="72"/>
      <c r="J163" s="72"/>
      <c r="K163" s="72"/>
    </row>
    <row r="164" ht="15.75" customHeight="1">
      <c r="A164" s="72"/>
      <c r="B164" s="72"/>
      <c r="C164" s="72"/>
      <c r="D164" s="74"/>
      <c r="E164" s="82"/>
      <c r="F164" s="72"/>
      <c r="G164" s="77"/>
      <c r="H164" s="72"/>
      <c r="I164" s="72"/>
      <c r="J164" s="72"/>
      <c r="K164" s="72"/>
    </row>
    <row r="165" ht="15.75" customHeight="1">
      <c r="A165" s="72"/>
      <c r="B165" s="72"/>
      <c r="C165" s="72"/>
      <c r="D165" s="74"/>
      <c r="E165" s="82"/>
      <c r="F165" s="72"/>
      <c r="G165" s="77"/>
      <c r="H165" s="72"/>
      <c r="I165" s="72"/>
      <c r="J165" s="72"/>
      <c r="K165" s="72"/>
    </row>
    <row r="166" ht="15.75" customHeight="1">
      <c r="A166" s="72"/>
      <c r="B166" s="72"/>
      <c r="C166" s="72"/>
      <c r="D166" s="74"/>
      <c r="E166" s="82"/>
      <c r="F166" s="72"/>
      <c r="G166" s="77"/>
      <c r="H166" s="72"/>
      <c r="I166" s="72"/>
      <c r="J166" s="72"/>
      <c r="K166" s="72"/>
    </row>
    <row r="167" ht="15.75" customHeight="1">
      <c r="A167" s="72"/>
      <c r="B167" s="72"/>
      <c r="C167" s="72"/>
      <c r="D167" s="74"/>
      <c r="E167" s="82"/>
      <c r="F167" s="72"/>
      <c r="G167" s="77"/>
      <c r="H167" s="72"/>
      <c r="I167" s="72"/>
      <c r="J167" s="72"/>
      <c r="K167" s="72"/>
    </row>
    <row r="168" ht="15.75" customHeight="1">
      <c r="A168" s="72"/>
      <c r="B168" s="72"/>
      <c r="C168" s="72"/>
      <c r="D168" s="74"/>
      <c r="E168" s="82"/>
      <c r="F168" s="72"/>
      <c r="G168" s="77"/>
      <c r="H168" s="72"/>
      <c r="I168" s="72"/>
      <c r="J168" s="72"/>
      <c r="K168" s="72"/>
    </row>
    <row r="169" ht="15.75" customHeight="1">
      <c r="A169" s="72"/>
      <c r="B169" s="72"/>
      <c r="C169" s="72"/>
      <c r="D169" s="74"/>
      <c r="E169" s="82"/>
      <c r="F169" s="72"/>
      <c r="G169" s="77"/>
      <c r="H169" s="72"/>
      <c r="I169" s="72"/>
      <c r="J169" s="72"/>
      <c r="K169" s="72"/>
    </row>
    <row r="170" ht="15.75" customHeight="1">
      <c r="A170" s="72"/>
      <c r="B170" s="72"/>
      <c r="C170" s="72"/>
      <c r="D170" s="74"/>
      <c r="E170" s="82"/>
      <c r="F170" s="72"/>
      <c r="G170" s="77"/>
      <c r="H170" s="72"/>
      <c r="I170" s="72"/>
      <c r="J170" s="72"/>
      <c r="K170" s="72"/>
    </row>
    <row r="171" ht="15.75" customHeight="1">
      <c r="A171" s="72"/>
      <c r="B171" s="72"/>
      <c r="C171" s="72"/>
      <c r="D171" s="74"/>
      <c r="E171" s="82"/>
      <c r="F171" s="72"/>
      <c r="G171" s="77"/>
      <c r="H171" s="72"/>
      <c r="I171" s="72"/>
      <c r="J171" s="72"/>
      <c r="K171" s="72"/>
    </row>
    <row r="172" ht="15.75" customHeight="1">
      <c r="A172" s="72"/>
      <c r="B172" s="72"/>
      <c r="C172" s="72"/>
      <c r="D172" s="74"/>
      <c r="E172" s="82"/>
      <c r="F172" s="72"/>
      <c r="G172" s="77"/>
      <c r="H172" s="72"/>
      <c r="I172" s="72"/>
      <c r="J172" s="72"/>
      <c r="K172" s="72"/>
    </row>
    <row r="173" ht="15.75" customHeight="1">
      <c r="A173" s="72"/>
      <c r="B173" s="72"/>
      <c r="C173" s="72"/>
      <c r="D173" s="74"/>
      <c r="E173" s="82"/>
      <c r="F173" s="72"/>
      <c r="G173" s="77"/>
      <c r="H173" s="72"/>
      <c r="I173" s="72"/>
      <c r="J173" s="72"/>
      <c r="K173" s="72"/>
    </row>
    <row r="174" ht="15.75" customHeight="1">
      <c r="A174" s="72"/>
      <c r="B174" s="72"/>
      <c r="C174" s="72"/>
      <c r="D174" s="74"/>
      <c r="E174" s="82"/>
      <c r="F174" s="72"/>
      <c r="G174" s="77"/>
      <c r="H174" s="72"/>
      <c r="I174" s="72"/>
      <c r="J174" s="72"/>
      <c r="K174" s="72"/>
    </row>
    <row r="175" ht="15.75" customHeight="1">
      <c r="A175" s="72"/>
      <c r="B175" s="72"/>
      <c r="C175" s="72"/>
      <c r="D175" s="74"/>
      <c r="E175" s="82"/>
      <c r="F175" s="72"/>
      <c r="G175" s="77"/>
      <c r="H175" s="72"/>
      <c r="I175" s="72"/>
      <c r="J175" s="72"/>
      <c r="K175" s="72"/>
    </row>
    <row r="176" ht="15.75" customHeight="1">
      <c r="A176" s="72"/>
      <c r="B176" s="72"/>
      <c r="C176" s="72"/>
      <c r="D176" s="74"/>
      <c r="E176" s="82"/>
      <c r="F176" s="72"/>
      <c r="G176" s="77"/>
      <c r="H176" s="72"/>
      <c r="I176" s="72"/>
      <c r="J176" s="72"/>
      <c r="K176" s="72"/>
    </row>
    <row r="177" ht="15.75" customHeight="1">
      <c r="A177" s="72"/>
      <c r="B177" s="72"/>
      <c r="C177" s="72"/>
      <c r="D177" s="74"/>
      <c r="E177" s="82"/>
      <c r="F177" s="72"/>
      <c r="G177" s="77"/>
      <c r="H177" s="72"/>
      <c r="I177" s="72"/>
      <c r="J177" s="72"/>
      <c r="K177" s="72"/>
    </row>
    <row r="178" ht="15.75" customHeight="1">
      <c r="A178" s="72"/>
      <c r="B178" s="72"/>
      <c r="C178" s="72"/>
      <c r="D178" s="74"/>
      <c r="E178" s="82"/>
      <c r="F178" s="72"/>
      <c r="G178" s="77"/>
      <c r="H178" s="72"/>
      <c r="I178" s="72"/>
      <c r="J178" s="72"/>
      <c r="K178" s="72"/>
    </row>
    <row r="179" ht="15.75" customHeight="1">
      <c r="A179" s="72"/>
      <c r="B179" s="72"/>
      <c r="C179" s="72"/>
      <c r="D179" s="74"/>
      <c r="E179" s="82"/>
      <c r="F179" s="72"/>
      <c r="G179" s="77"/>
      <c r="H179" s="72"/>
      <c r="I179" s="72"/>
      <c r="J179" s="72"/>
      <c r="K179" s="72"/>
    </row>
    <row r="180" ht="15.75" customHeight="1">
      <c r="A180" s="72"/>
      <c r="B180" s="72"/>
      <c r="C180" s="72"/>
      <c r="D180" s="74"/>
      <c r="E180" s="82"/>
      <c r="F180" s="72"/>
      <c r="G180" s="77"/>
      <c r="H180" s="72"/>
      <c r="I180" s="72"/>
      <c r="J180" s="72"/>
      <c r="K180" s="72"/>
    </row>
    <row r="181" ht="15.75" customHeight="1">
      <c r="A181" s="72"/>
      <c r="B181" s="72"/>
      <c r="C181" s="72"/>
      <c r="D181" s="74"/>
      <c r="E181" s="82"/>
      <c r="F181" s="72"/>
      <c r="G181" s="77"/>
      <c r="H181" s="72"/>
      <c r="I181" s="72"/>
      <c r="J181" s="72"/>
      <c r="K181" s="72"/>
    </row>
    <row r="182" ht="15.75" customHeight="1">
      <c r="A182" s="72"/>
      <c r="B182" s="72"/>
      <c r="C182" s="72"/>
      <c r="D182" s="74"/>
      <c r="E182" s="82"/>
      <c r="F182" s="72"/>
      <c r="G182" s="77"/>
      <c r="H182" s="72"/>
      <c r="I182" s="72"/>
      <c r="J182" s="72"/>
      <c r="K182" s="72"/>
    </row>
    <row r="183" ht="15.75" customHeight="1">
      <c r="A183" s="72"/>
      <c r="B183" s="72"/>
      <c r="C183" s="72"/>
      <c r="D183" s="74"/>
      <c r="E183" s="82"/>
      <c r="F183" s="72"/>
      <c r="G183" s="77"/>
      <c r="H183" s="72"/>
      <c r="I183" s="72"/>
      <c r="J183" s="72"/>
      <c r="K183" s="72"/>
    </row>
    <row r="184" ht="15.75" customHeight="1">
      <c r="A184" s="72"/>
      <c r="B184" s="72"/>
      <c r="C184" s="72"/>
      <c r="D184" s="74"/>
      <c r="E184" s="82"/>
      <c r="F184" s="72"/>
      <c r="G184" s="77"/>
      <c r="H184" s="72"/>
      <c r="I184" s="72"/>
      <c r="J184" s="72"/>
      <c r="K184" s="72"/>
    </row>
    <row r="185" ht="15.75" customHeight="1">
      <c r="A185" s="72"/>
      <c r="B185" s="72"/>
      <c r="C185" s="72"/>
      <c r="D185" s="74"/>
      <c r="E185" s="82"/>
      <c r="F185" s="72"/>
      <c r="G185" s="77"/>
      <c r="H185" s="72"/>
      <c r="I185" s="72"/>
      <c r="J185" s="72"/>
      <c r="K185" s="72"/>
    </row>
    <row r="186" ht="15.75" customHeight="1">
      <c r="A186" s="72"/>
      <c r="B186" s="72"/>
      <c r="C186" s="72"/>
      <c r="D186" s="74"/>
      <c r="E186" s="82"/>
      <c r="F186" s="72"/>
      <c r="G186" s="77"/>
      <c r="H186" s="72"/>
      <c r="I186" s="72"/>
      <c r="J186" s="72"/>
      <c r="K186" s="72"/>
    </row>
    <row r="187" ht="15.75" customHeight="1">
      <c r="A187" s="72"/>
      <c r="B187" s="72"/>
      <c r="C187" s="72"/>
      <c r="D187" s="74"/>
      <c r="E187" s="82"/>
      <c r="F187" s="72"/>
      <c r="G187" s="77"/>
      <c r="H187" s="72"/>
      <c r="I187" s="72"/>
      <c r="J187" s="72"/>
      <c r="K187" s="72"/>
    </row>
    <row r="188" ht="15.75" customHeight="1">
      <c r="A188" s="72"/>
      <c r="B188" s="72"/>
      <c r="C188" s="72"/>
      <c r="D188" s="74"/>
      <c r="E188" s="82"/>
      <c r="F188" s="72"/>
      <c r="G188" s="77"/>
      <c r="H188" s="72"/>
      <c r="I188" s="72"/>
      <c r="J188" s="72"/>
      <c r="K188" s="72"/>
    </row>
    <row r="189" ht="15.75" customHeight="1">
      <c r="A189" s="72"/>
      <c r="B189" s="72"/>
      <c r="C189" s="72"/>
      <c r="D189" s="74"/>
      <c r="E189" s="82"/>
      <c r="F189" s="72"/>
      <c r="G189" s="77"/>
      <c r="H189" s="72"/>
      <c r="I189" s="72"/>
      <c r="J189" s="72"/>
      <c r="K189" s="72"/>
    </row>
    <row r="190" ht="15.75" customHeight="1">
      <c r="A190" s="72"/>
      <c r="B190" s="72"/>
      <c r="C190" s="72"/>
      <c r="D190" s="74"/>
      <c r="E190" s="82"/>
      <c r="F190" s="72"/>
      <c r="G190" s="77"/>
      <c r="H190" s="72"/>
      <c r="I190" s="72"/>
      <c r="J190" s="72"/>
      <c r="K190" s="72"/>
    </row>
    <row r="191" ht="15.75" customHeight="1">
      <c r="A191" s="72"/>
      <c r="B191" s="72"/>
      <c r="C191" s="72"/>
      <c r="D191" s="74"/>
      <c r="E191" s="82"/>
      <c r="F191" s="72"/>
      <c r="G191" s="77"/>
      <c r="H191" s="72"/>
      <c r="I191" s="72"/>
      <c r="J191" s="72"/>
      <c r="K191" s="72"/>
    </row>
    <row r="192" ht="15.75" customHeight="1">
      <c r="A192" s="72"/>
      <c r="B192" s="72"/>
      <c r="C192" s="72"/>
      <c r="D192" s="74"/>
      <c r="E192" s="82"/>
      <c r="F192" s="72"/>
      <c r="G192" s="77"/>
      <c r="H192" s="72"/>
      <c r="I192" s="72"/>
      <c r="J192" s="72"/>
      <c r="K192" s="72"/>
    </row>
    <row r="193" ht="15.75" customHeight="1">
      <c r="A193" s="72"/>
      <c r="B193" s="72"/>
      <c r="C193" s="72"/>
      <c r="D193" s="74"/>
      <c r="E193" s="82"/>
      <c r="F193" s="72"/>
      <c r="G193" s="77"/>
      <c r="H193" s="72"/>
      <c r="I193" s="72"/>
      <c r="J193" s="72"/>
      <c r="K193" s="72"/>
    </row>
    <row r="194" ht="15.75" customHeight="1">
      <c r="A194" s="72"/>
      <c r="B194" s="72"/>
      <c r="C194" s="72"/>
      <c r="D194" s="74"/>
      <c r="E194" s="82"/>
      <c r="F194" s="72"/>
      <c r="G194" s="77"/>
      <c r="H194" s="72"/>
      <c r="I194" s="72"/>
      <c r="J194" s="72"/>
      <c r="K194" s="72"/>
    </row>
    <row r="195" ht="15.75" customHeight="1">
      <c r="A195" s="72"/>
      <c r="B195" s="72"/>
      <c r="C195" s="72"/>
      <c r="D195" s="74"/>
      <c r="E195" s="82"/>
      <c r="F195" s="72"/>
      <c r="G195" s="77"/>
      <c r="H195" s="72"/>
      <c r="I195" s="72"/>
      <c r="J195" s="72"/>
      <c r="K195" s="72"/>
    </row>
    <row r="196" ht="15.75" customHeight="1">
      <c r="A196" s="72"/>
      <c r="B196" s="72"/>
      <c r="C196" s="72"/>
      <c r="D196" s="74"/>
      <c r="E196" s="82"/>
      <c r="F196" s="72"/>
      <c r="G196" s="77"/>
      <c r="H196" s="72"/>
      <c r="I196" s="72"/>
      <c r="J196" s="72"/>
      <c r="K196" s="72"/>
    </row>
    <row r="197" ht="15.75" customHeight="1">
      <c r="A197" s="72"/>
      <c r="B197" s="72"/>
      <c r="C197" s="72"/>
      <c r="D197" s="74"/>
      <c r="E197" s="82"/>
      <c r="F197" s="72"/>
      <c r="G197" s="77"/>
      <c r="H197" s="72"/>
      <c r="I197" s="72"/>
      <c r="J197" s="72"/>
      <c r="K197" s="72"/>
    </row>
    <row r="198" ht="15.75" customHeight="1">
      <c r="A198" s="72"/>
      <c r="B198" s="72"/>
      <c r="C198" s="72"/>
      <c r="D198" s="74"/>
      <c r="E198" s="82"/>
      <c r="F198" s="72"/>
      <c r="G198" s="77"/>
      <c r="H198" s="72"/>
      <c r="I198" s="72"/>
      <c r="J198" s="72"/>
      <c r="K198" s="72"/>
    </row>
    <row r="199" ht="15.75" customHeight="1">
      <c r="A199" s="72"/>
      <c r="B199" s="72"/>
      <c r="C199" s="72"/>
      <c r="D199" s="74"/>
      <c r="E199" s="82"/>
      <c r="F199" s="72"/>
      <c r="G199" s="77"/>
      <c r="H199" s="72"/>
      <c r="I199" s="72"/>
      <c r="J199" s="72"/>
      <c r="K199" s="72"/>
    </row>
    <row r="200" ht="15.75" customHeight="1">
      <c r="A200" s="72"/>
      <c r="B200" s="72"/>
      <c r="C200" s="72"/>
      <c r="D200" s="74"/>
      <c r="E200" s="82"/>
      <c r="F200" s="72"/>
      <c r="G200" s="77"/>
      <c r="H200" s="72"/>
      <c r="I200" s="72"/>
      <c r="J200" s="72"/>
      <c r="K200" s="72"/>
    </row>
    <row r="201" ht="15.75" customHeight="1">
      <c r="A201" s="72"/>
      <c r="B201" s="72"/>
      <c r="C201" s="72"/>
      <c r="D201" s="74"/>
      <c r="E201" s="82"/>
      <c r="F201" s="72"/>
      <c r="G201" s="77"/>
      <c r="H201" s="72"/>
      <c r="I201" s="72"/>
      <c r="J201" s="72"/>
      <c r="K201" s="72"/>
    </row>
    <row r="202" ht="15.75" customHeight="1">
      <c r="A202" s="72"/>
      <c r="B202" s="72"/>
      <c r="C202" s="72"/>
      <c r="D202" s="74"/>
      <c r="E202" s="82"/>
      <c r="F202" s="72"/>
      <c r="G202" s="77"/>
      <c r="H202" s="72"/>
      <c r="I202" s="72"/>
      <c r="J202" s="72"/>
      <c r="K202" s="72"/>
    </row>
    <row r="203" ht="15.75" customHeight="1">
      <c r="A203" s="72"/>
      <c r="B203" s="72"/>
      <c r="C203" s="72"/>
      <c r="D203" s="74"/>
      <c r="E203" s="82"/>
      <c r="F203" s="72"/>
      <c r="G203" s="77"/>
      <c r="H203" s="72"/>
      <c r="I203" s="72"/>
      <c r="J203" s="72"/>
      <c r="K203" s="72"/>
    </row>
    <row r="204" ht="15.75" customHeight="1">
      <c r="A204" s="72"/>
      <c r="B204" s="72"/>
      <c r="C204" s="72"/>
      <c r="D204" s="74"/>
      <c r="E204" s="82"/>
      <c r="F204" s="72"/>
      <c r="G204" s="77"/>
      <c r="H204" s="72"/>
      <c r="I204" s="72"/>
      <c r="J204" s="72"/>
      <c r="K204" s="72"/>
    </row>
    <row r="205" ht="15.75" customHeight="1">
      <c r="A205" s="72"/>
      <c r="B205" s="72"/>
      <c r="C205" s="72"/>
      <c r="D205" s="74"/>
      <c r="E205" s="82"/>
      <c r="F205" s="72"/>
      <c r="G205" s="77"/>
      <c r="H205" s="72"/>
      <c r="I205" s="72"/>
      <c r="J205" s="72"/>
      <c r="K205" s="72"/>
    </row>
    <row r="206" ht="15.75" customHeight="1">
      <c r="A206" s="72"/>
      <c r="B206" s="72"/>
      <c r="C206" s="72"/>
      <c r="D206" s="74"/>
      <c r="E206" s="82"/>
      <c r="F206" s="72"/>
      <c r="G206" s="77"/>
      <c r="H206" s="72"/>
      <c r="I206" s="72"/>
      <c r="J206" s="72"/>
      <c r="K206" s="72"/>
    </row>
    <row r="207" ht="15.75" customHeight="1">
      <c r="A207" s="72"/>
      <c r="B207" s="72"/>
      <c r="C207" s="72"/>
      <c r="D207" s="74"/>
      <c r="E207" s="82"/>
      <c r="F207" s="72"/>
      <c r="G207" s="77"/>
      <c r="H207" s="72"/>
      <c r="I207" s="72"/>
      <c r="J207" s="72"/>
      <c r="K207" s="72"/>
    </row>
    <row r="208" ht="15.75" customHeight="1">
      <c r="A208" s="72"/>
      <c r="B208" s="72"/>
      <c r="C208" s="72"/>
      <c r="D208" s="74"/>
      <c r="E208" s="82"/>
      <c r="F208" s="72"/>
      <c r="G208" s="77"/>
      <c r="H208" s="72"/>
      <c r="I208" s="72"/>
      <c r="J208" s="72"/>
      <c r="K208" s="72"/>
    </row>
    <row r="209" ht="15.75" customHeight="1">
      <c r="A209" s="72"/>
      <c r="B209" s="72"/>
      <c r="C209" s="72"/>
      <c r="D209" s="74"/>
      <c r="E209" s="82"/>
      <c r="F209" s="72"/>
      <c r="G209" s="77"/>
      <c r="H209" s="72"/>
      <c r="I209" s="72"/>
      <c r="J209" s="72"/>
      <c r="K209" s="72"/>
    </row>
    <row r="210">
      <c r="A210" s="72"/>
      <c r="B210" s="72"/>
      <c r="C210" s="72"/>
      <c r="D210" s="74"/>
      <c r="E210" s="82"/>
      <c r="F210" s="72"/>
      <c r="G210" s="77"/>
      <c r="H210" s="72"/>
      <c r="I210" s="72"/>
      <c r="J210" s="72"/>
      <c r="K210" s="72"/>
    </row>
    <row r="211">
      <c r="A211" s="72"/>
      <c r="B211" s="72"/>
      <c r="C211" s="72"/>
      <c r="D211" s="74"/>
      <c r="E211" s="82"/>
      <c r="F211" s="72"/>
      <c r="G211" s="77"/>
      <c r="H211" s="72"/>
      <c r="I211" s="72"/>
      <c r="J211" s="72"/>
      <c r="K211" s="72"/>
    </row>
    <row r="212">
      <c r="A212" s="72"/>
      <c r="B212" s="72"/>
      <c r="C212" s="72"/>
      <c r="D212" s="74"/>
      <c r="E212" s="82"/>
      <c r="F212" s="72"/>
      <c r="G212" s="77"/>
      <c r="H212" s="72"/>
      <c r="I212" s="72"/>
      <c r="J212" s="72"/>
      <c r="K212" s="72"/>
    </row>
    <row r="213">
      <c r="A213" s="72"/>
      <c r="B213" s="72"/>
      <c r="C213" s="72"/>
      <c r="D213" s="74"/>
      <c r="E213" s="82"/>
      <c r="F213" s="72"/>
      <c r="G213" s="77"/>
      <c r="H213" s="72"/>
      <c r="I213" s="72"/>
      <c r="J213" s="72"/>
      <c r="K213" s="72"/>
    </row>
    <row r="214">
      <c r="A214" s="72"/>
      <c r="B214" s="72"/>
      <c r="C214" s="72"/>
      <c r="D214" s="74"/>
      <c r="E214" s="82"/>
      <c r="F214" s="72"/>
      <c r="G214" s="77"/>
      <c r="H214" s="72"/>
      <c r="I214" s="72"/>
      <c r="J214" s="72"/>
      <c r="K214" s="72"/>
    </row>
    <row r="215">
      <c r="A215" s="72"/>
      <c r="B215" s="72"/>
      <c r="C215" s="72"/>
      <c r="D215" s="74"/>
      <c r="E215" s="82"/>
      <c r="F215" s="72"/>
      <c r="G215" s="77"/>
      <c r="H215" s="72"/>
      <c r="I215" s="72"/>
      <c r="J215" s="72"/>
      <c r="K215" s="72"/>
    </row>
    <row r="216">
      <c r="A216" s="72"/>
      <c r="B216" s="72"/>
      <c r="C216" s="72"/>
      <c r="D216" s="74"/>
      <c r="E216" s="82"/>
      <c r="F216" s="72"/>
      <c r="G216" s="77"/>
      <c r="H216" s="72"/>
      <c r="I216" s="72"/>
      <c r="J216" s="72"/>
      <c r="K216" s="72"/>
    </row>
    <row r="217">
      <c r="A217" s="72"/>
      <c r="B217" s="72"/>
      <c r="C217" s="72"/>
      <c r="D217" s="74"/>
      <c r="E217" s="82"/>
      <c r="F217" s="72"/>
      <c r="G217" s="77"/>
      <c r="H217" s="72"/>
      <c r="I217" s="72"/>
      <c r="J217" s="72"/>
      <c r="K217" s="72"/>
    </row>
    <row r="218">
      <c r="A218" s="72"/>
      <c r="B218" s="72"/>
      <c r="C218" s="72"/>
      <c r="D218" s="74"/>
      <c r="E218" s="82"/>
      <c r="F218" s="72"/>
      <c r="G218" s="77"/>
      <c r="H218" s="72"/>
      <c r="I218" s="72"/>
      <c r="J218" s="72"/>
      <c r="K218" s="72"/>
    </row>
    <row r="219">
      <c r="A219" s="72"/>
      <c r="B219" s="72"/>
      <c r="C219" s="72"/>
      <c r="D219" s="74"/>
      <c r="E219" s="82"/>
      <c r="F219" s="72"/>
      <c r="G219" s="77"/>
      <c r="H219" s="72"/>
      <c r="I219" s="72"/>
      <c r="J219" s="72"/>
      <c r="K219" s="72"/>
    </row>
    <row r="220">
      <c r="A220" s="72"/>
      <c r="B220" s="72"/>
      <c r="C220" s="72"/>
      <c r="D220" s="74"/>
      <c r="E220" s="82"/>
      <c r="F220" s="72"/>
      <c r="G220" s="77"/>
      <c r="H220" s="72"/>
      <c r="I220" s="72"/>
      <c r="J220" s="72"/>
      <c r="K220" s="72"/>
    </row>
    <row r="221">
      <c r="A221" s="72"/>
      <c r="B221" s="72"/>
      <c r="C221" s="72"/>
      <c r="D221" s="74"/>
      <c r="E221" s="82"/>
      <c r="F221" s="72"/>
      <c r="G221" s="77"/>
      <c r="H221" s="72"/>
      <c r="I221" s="72"/>
      <c r="J221" s="72"/>
      <c r="K221" s="72"/>
    </row>
    <row r="222" ht="15.75" customHeight="1">
      <c r="A222" s="72"/>
      <c r="B222" s="72"/>
      <c r="C222" s="72"/>
      <c r="D222" s="74"/>
      <c r="E222" s="82"/>
      <c r="F222" s="72"/>
      <c r="G222" s="77"/>
      <c r="H222" s="72"/>
      <c r="I222" s="72"/>
      <c r="J222" s="72"/>
      <c r="K222" s="72"/>
    </row>
    <row r="223" ht="15.75" customHeight="1">
      <c r="A223" s="72"/>
      <c r="B223" s="72"/>
      <c r="C223" s="72"/>
      <c r="D223" s="74"/>
      <c r="E223" s="82"/>
      <c r="F223" s="72"/>
      <c r="G223" s="77"/>
      <c r="H223" s="72"/>
      <c r="I223" s="72"/>
      <c r="J223" s="72"/>
      <c r="K223" s="72"/>
    </row>
    <row r="224" ht="15.75" customHeight="1">
      <c r="A224" s="72"/>
      <c r="B224" s="72"/>
      <c r="C224" s="72"/>
      <c r="D224" s="74"/>
      <c r="E224" s="82"/>
      <c r="F224" s="72"/>
      <c r="G224" s="77"/>
      <c r="H224" s="72"/>
      <c r="I224" s="72"/>
      <c r="J224" s="72"/>
      <c r="K224" s="72"/>
    </row>
    <row r="225" ht="15.75" customHeight="1">
      <c r="A225" s="72"/>
      <c r="B225" s="72"/>
      <c r="C225" s="72"/>
      <c r="D225" s="74"/>
      <c r="E225" s="82"/>
      <c r="F225" s="72"/>
      <c r="G225" s="77"/>
      <c r="H225" s="72"/>
      <c r="I225" s="72"/>
      <c r="J225" s="72"/>
      <c r="K225" s="72"/>
    </row>
    <row r="226" ht="15.75" customHeight="1">
      <c r="A226" s="72"/>
      <c r="B226" s="72"/>
      <c r="C226" s="72"/>
      <c r="D226" s="74"/>
      <c r="E226" s="82"/>
      <c r="F226" s="72"/>
      <c r="G226" s="77"/>
      <c r="H226" s="72"/>
      <c r="I226" s="72"/>
      <c r="J226" s="72"/>
      <c r="K226" s="72"/>
    </row>
    <row r="227" ht="15.75" customHeight="1">
      <c r="A227" s="72"/>
      <c r="B227" s="72"/>
      <c r="C227" s="72"/>
      <c r="D227" s="74"/>
      <c r="E227" s="82"/>
      <c r="F227" s="72"/>
      <c r="G227" s="77"/>
      <c r="H227" s="72"/>
      <c r="I227" s="72"/>
      <c r="J227" s="72"/>
      <c r="K227" s="72"/>
    </row>
    <row r="228" ht="15.75" customHeight="1">
      <c r="A228" s="72"/>
      <c r="B228" s="72"/>
      <c r="C228" s="72"/>
      <c r="D228" s="74"/>
      <c r="E228" s="82"/>
      <c r="F228" s="72"/>
      <c r="G228" s="77"/>
      <c r="H228" s="72"/>
      <c r="I228" s="72"/>
      <c r="J228" s="72"/>
      <c r="K228" s="72"/>
    </row>
    <row r="229" ht="15.75" customHeight="1">
      <c r="A229" s="72"/>
      <c r="B229" s="72"/>
      <c r="C229" s="72"/>
      <c r="D229" s="74"/>
      <c r="E229" s="82"/>
      <c r="F229" s="72"/>
      <c r="G229" s="77"/>
      <c r="H229" s="72"/>
      <c r="I229" s="72"/>
      <c r="J229" s="72"/>
      <c r="K229" s="72"/>
    </row>
    <row r="230" ht="15.75" customHeight="1">
      <c r="A230" s="72"/>
      <c r="B230" s="72"/>
      <c r="C230" s="72"/>
      <c r="D230" s="74"/>
      <c r="E230" s="82"/>
      <c r="F230" s="72"/>
      <c r="G230" s="77"/>
      <c r="H230" s="72"/>
      <c r="I230" s="72"/>
      <c r="J230" s="72"/>
      <c r="K230" s="72"/>
    </row>
    <row r="231" ht="15.75" customHeight="1">
      <c r="A231" s="72"/>
      <c r="B231" s="72"/>
      <c r="C231" s="72"/>
      <c r="D231" s="74"/>
      <c r="E231" s="82"/>
      <c r="F231" s="72"/>
      <c r="G231" s="77"/>
      <c r="H231" s="72"/>
      <c r="I231" s="72"/>
      <c r="J231" s="72"/>
      <c r="K231" s="72"/>
    </row>
    <row r="232" ht="15.75" customHeight="1">
      <c r="A232" s="72"/>
      <c r="B232" s="72"/>
      <c r="C232" s="72"/>
      <c r="D232" s="74"/>
      <c r="E232" s="82"/>
      <c r="F232" s="72"/>
      <c r="G232" s="77"/>
      <c r="H232" s="72"/>
      <c r="I232" s="72"/>
      <c r="J232" s="72"/>
      <c r="K232" s="72"/>
    </row>
    <row r="233" ht="15.75" customHeight="1">
      <c r="A233" s="72"/>
      <c r="B233" s="72"/>
      <c r="C233" s="72"/>
      <c r="D233" s="74"/>
      <c r="E233" s="82"/>
      <c r="F233" s="72"/>
      <c r="G233" s="77"/>
      <c r="H233" s="72"/>
      <c r="I233" s="72"/>
      <c r="J233" s="72"/>
      <c r="K233" s="72"/>
    </row>
    <row r="234" ht="15.75" customHeight="1">
      <c r="A234" s="72"/>
      <c r="B234" s="72"/>
      <c r="C234" s="72"/>
      <c r="D234" s="74"/>
      <c r="E234" s="82"/>
      <c r="F234" s="72"/>
      <c r="G234" s="77"/>
      <c r="H234" s="72"/>
      <c r="I234" s="72"/>
      <c r="J234" s="72"/>
      <c r="K234" s="72"/>
    </row>
    <row r="235" ht="15.75" customHeight="1">
      <c r="A235" s="72"/>
      <c r="B235" s="72"/>
      <c r="C235" s="72"/>
      <c r="D235" s="74"/>
      <c r="E235" s="82"/>
      <c r="F235" s="72"/>
      <c r="G235" s="77"/>
      <c r="H235" s="72"/>
      <c r="I235" s="72"/>
      <c r="J235" s="72"/>
      <c r="K235" s="72"/>
    </row>
    <row r="236" ht="15.75" customHeight="1">
      <c r="A236" s="72"/>
      <c r="B236" s="72"/>
      <c r="C236" s="72"/>
      <c r="D236" s="74"/>
      <c r="E236" s="82"/>
      <c r="F236" s="72"/>
      <c r="G236" s="77"/>
      <c r="H236" s="72"/>
      <c r="I236" s="72"/>
      <c r="J236" s="72"/>
      <c r="K236" s="72"/>
    </row>
    <row r="237" ht="15.75" customHeight="1">
      <c r="A237" s="72"/>
      <c r="B237" s="72"/>
      <c r="C237" s="72"/>
      <c r="D237" s="74"/>
      <c r="E237" s="82"/>
      <c r="F237" s="72"/>
      <c r="G237" s="77"/>
      <c r="H237" s="72"/>
      <c r="I237" s="72"/>
      <c r="J237" s="72"/>
      <c r="K237" s="72"/>
    </row>
    <row r="238" ht="15.75" customHeight="1">
      <c r="A238" s="72"/>
      <c r="B238" s="72"/>
      <c r="C238" s="72"/>
      <c r="D238" s="74"/>
      <c r="E238" s="82"/>
      <c r="F238" s="72"/>
      <c r="G238" s="77"/>
      <c r="H238" s="72"/>
      <c r="I238" s="72"/>
      <c r="J238" s="72"/>
      <c r="K238" s="72"/>
    </row>
    <row r="239" ht="15.75" customHeight="1">
      <c r="A239" s="72"/>
      <c r="B239" s="72"/>
      <c r="C239" s="72"/>
      <c r="D239" s="74"/>
      <c r="E239" s="82"/>
      <c r="F239" s="72"/>
      <c r="G239" s="77"/>
      <c r="H239" s="72"/>
      <c r="I239" s="72"/>
      <c r="J239" s="72"/>
      <c r="K239" s="72"/>
    </row>
    <row r="240" ht="15.75" customHeight="1">
      <c r="A240" s="72"/>
      <c r="B240" s="72"/>
      <c r="C240" s="72"/>
      <c r="D240" s="74"/>
      <c r="E240" s="82"/>
      <c r="F240" s="72"/>
      <c r="G240" s="77"/>
      <c r="H240" s="72"/>
      <c r="I240" s="72"/>
      <c r="J240" s="72"/>
      <c r="K240" s="72"/>
    </row>
    <row r="241" ht="15.75" customHeight="1">
      <c r="A241" s="72"/>
      <c r="B241" s="72"/>
      <c r="C241" s="72"/>
      <c r="D241" s="74"/>
      <c r="E241" s="82"/>
      <c r="F241" s="72"/>
      <c r="G241" s="77"/>
      <c r="H241" s="72"/>
      <c r="I241" s="72"/>
      <c r="J241" s="72"/>
      <c r="K241" s="72"/>
    </row>
    <row r="242" ht="15.75" customHeight="1">
      <c r="A242" s="72"/>
      <c r="B242" s="72"/>
      <c r="C242" s="72"/>
      <c r="D242" s="74"/>
      <c r="E242" s="82"/>
      <c r="F242" s="72"/>
      <c r="G242" s="77"/>
      <c r="H242" s="72"/>
      <c r="I242" s="72"/>
      <c r="J242" s="72"/>
      <c r="K242" s="72"/>
    </row>
    <row r="243" ht="15.75" customHeight="1">
      <c r="A243" s="72"/>
      <c r="B243" s="72"/>
      <c r="C243" s="72"/>
      <c r="D243" s="74"/>
      <c r="E243" s="82"/>
      <c r="F243" s="72"/>
      <c r="G243" s="77"/>
      <c r="H243" s="72"/>
      <c r="I243" s="72"/>
      <c r="J243" s="72"/>
      <c r="K243" s="72"/>
    </row>
    <row r="244" ht="15.75" customHeight="1">
      <c r="A244" s="72"/>
      <c r="B244" s="72"/>
      <c r="C244" s="72"/>
      <c r="D244" s="74"/>
      <c r="E244" s="82"/>
      <c r="F244" s="72"/>
      <c r="G244" s="77"/>
      <c r="H244" s="72"/>
      <c r="I244" s="72"/>
      <c r="J244" s="72"/>
      <c r="K244" s="72"/>
    </row>
    <row r="245" ht="15.75" customHeight="1">
      <c r="A245" s="72"/>
      <c r="B245" s="72"/>
      <c r="C245" s="72"/>
      <c r="D245" s="74"/>
      <c r="E245" s="82"/>
      <c r="F245" s="72"/>
      <c r="G245" s="77"/>
      <c r="H245" s="72"/>
      <c r="I245" s="72"/>
      <c r="J245" s="72"/>
      <c r="K245" s="72"/>
    </row>
    <row r="246" ht="15.75" customHeight="1">
      <c r="A246" s="72"/>
      <c r="B246" s="72"/>
      <c r="C246" s="72"/>
      <c r="D246" s="74"/>
      <c r="E246" s="82"/>
      <c r="F246" s="72"/>
      <c r="G246" s="77"/>
      <c r="H246" s="72"/>
      <c r="I246" s="72"/>
      <c r="J246" s="72"/>
      <c r="K246" s="72"/>
    </row>
    <row r="247" ht="15.75" customHeight="1">
      <c r="A247" s="72"/>
      <c r="B247" s="72"/>
      <c r="C247" s="72"/>
      <c r="D247" s="74"/>
      <c r="E247" s="82"/>
      <c r="F247" s="72"/>
      <c r="G247" s="77"/>
      <c r="H247" s="72"/>
      <c r="I247" s="72"/>
      <c r="J247" s="72"/>
      <c r="K247" s="72"/>
    </row>
    <row r="248" ht="15.75" customHeight="1">
      <c r="A248" s="72"/>
      <c r="B248" s="72"/>
      <c r="C248" s="72"/>
      <c r="D248" s="74"/>
      <c r="E248" s="82"/>
      <c r="F248" s="72"/>
      <c r="G248" s="77"/>
      <c r="H248" s="72"/>
      <c r="I248" s="72"/>
      <c r="J248" s="72"/>
      <c r="K248" s="72"/>
    </row>
    <row r="249" ht="15.75" customHeight="1">
      <c r="A249" s="72"/>
      <c r="B249" s="72"/>
      <c r="C249" s="72"/>
      <c r="D249" s="74"/>
      <c r="E249" s="82"/>
      <c r="F249" s="72"/>
      <c r="G249" s="77"/>
      <c r="H249" s="72"/>
      <c r="I249" s="72"/>
      <c r="J249" s="72"/>
      <c r="K249" s="72"/>
    </row>
    <row r="250" ht="15.75" customHeight="1">
      <c r="A250" s="72"/>
      <c r="B250" s="72"/>
      <c r="C250" s="72"/>
      <c r="D250" s="74"/>
      <c r="E250" s="82"/>
      <c r="F250" s="72"/>
      <c r="G250" s="77"/>
      <c r="H250" s="72"/>
      <c r="I250" s="72"/>
      <c r="J250" s="72"/>
      <c r="K250" s="72"/>
    </row>
    <row r="251" ht="15.75" customHeight="1">
      <c r="A251" s="72"/>
      <c r="B251" s="72"/>
      <c r="C251" s="72"/>
      <c r="D251" s="74"/>
      <c r="E251" s="82"/>
      <c r="F251" s="72"/>
      <c r="G251" s="77"/>
      <c r="H251" s="72"/>
      <c r="I251" s="72"/>
      <c r="J251" s="72"/>
      <c r="K251" s="72"/>
    </row>
    <row r="252" ht="15.75" customHeight="1">
      <c r="A252" s="72"/>
      <c r="B252" s="72"/>
      <c r="C252" s="72"/>
      <c r="D252" s="74"/>
      <c r="E252" s="82"/>
      <c r="F252" s="72"/>
      <c r="G252" s="77"/>
      <c r="H252" s="72"/>
      <c r="I252" s="72"/>
      <c r="J252" s="72"/>
      <c r="K252" s="72"/>
    </row>
    <row r="253" ht="15.75" customHeight="1">
      <c r="A253" s="72"/>
      <c r="B253" s="72"/>
      <c r="C253" s="72"/>
      <c r="D253" s="74"/>
      <c r="E253" s="82"/>
      <c r="F253" s="72"/>
      <c r="G253" s="77"/>
      <c r="H253" s="72"/>
      <c r="I253" s="72"/>
      <c r="J253" s="72"/>
      <c r="K253" s="72"/>
    </row>
    <row r="254" ht="15.75" customHeight="1">
      <c r="A254" s="72"/>
      <c r="B254" s="72"/>
      <c r="C254" s="72"/>
      <c r="D254" s="74"/>
      <c r="E254" s="82"/>
      <c r="F254" s="72"/>
      <c r="G254" s="77"/>
      <c r="H254" s="72"/>
      <c r="I254" s="72"/>
      <c r="J254" s="72"/>
      <c r="K254" s="72"/>
    </row>
    <row r="255" ht="15.75" customHeight="1">
      <c r="A255" s="72"/>
      <c r="B255" s="72"/>
      <c r="C255" s="72"/>
      <c r="D255" s="74"/>
      <c r="E255" s="82"/>
      <c r="F255" s="72"/>
      <c r="G255" s="77"/>
      <c r="H255" s="72"/>
      <c r="I255" s="72"/>
      <c r="J255" s="72"/>
      <c r="K255" s="72"/>
    </row>
    <row r="256" ht="15.75" customHeight="1">
      <c r="A256" s="72"/>
      <c r="B256" s="72"/>
      <c r="C256" s="72"/>
      <c r="D256" s="74"/>
      <c r="E256" s="82"/>
      <c r="F256" s="72"/>
      <c r="G256" s="77"/>
      <c r="H256" s="72"/>
      <c r="I256" s="72"/>
      <c r="J256" s="72"/>
      <c r="K256" s="72"/>
    </row>
    <row r="257" ht="15.75" customHeight="1">
      <c r="A257" s="72"/>
      <c r="B257" s="72"/>
      <c r="C257" s="72"/>
      <c r="D257" s="74"/>
      <c r="E257" s="82"/>
      <c r="F257" s="72"/>
      <c r="G257" s="77"/>
      <c r="H257" s="72"/>
      <c r="I257" s="72"/>
      <c r="J257" s="72"/>
      <c r="K257" s="72"/>
    </row>
    <row r="258" ht="15.75" customHeight="1">
      <c r="A258" s="72"/>
      <c r="B258" s="72"/>
      <c r="C258" s="72"/>
      <c r="D258" s="74"/>
      <c r="E258" s="82"/>
      <c r="F258" s="72"/>
      <c r="G258" s="77"/>
      <c r="H258" s="72"/>
      <c r="I258" s="72"/>
      <c r="J258" s="72"/>
      <c r="K258" s="72"/>
    </row>
    <row r="259" ht="15.75" customHeight="1">
      <c r="A259" s="72"/>
      <c r="B259" s="72"/>
      <c r="C259" s="72"/>
      <c r="D259" s="74"/>
      <c r="E259" s="82"/>
      <c r="F259" s="72"/>
      <c r="G259" s="77"/>
      <c r="H259" s="72"/>
      <c r="I259" s="72"/>
      <c r="J259" s="72"/>
      <c r="K259" s="72"/>
    </row>
    <row r="260" ht="15.75" customHeight="1">
      <c r="A260" s="72"/>
      <c r="B260" s="72"/>
      <c r="C260" s="72"/>
      <c r="D260" s="74"/>
      <c r="E260" s="82"/>
      <c r="F260" s="72"/>
      <c r="G260" s="77"/>
      <c r="H260" s="72"/>
      <c r="I260" s="72"/>
      <c r="J260" s="72"/>
      <c r="K260" s="72"/>
    </row>
    <row r="261" ht="15.75" customHeight="1">
      <c r="A261" s="72"/>
      <c r="B261" s="72"/>
      <c r="C261" s="72"/>
      <c r="D261" s="74"/>
      <c r="E261" s="82"/>
      <c r="F261" s="72"/>
      <c r="G261" s="77"/>
      <c r="H261" s="72"/>
      <c r="I261" s="72"/>
      <c r="J261" s="72"/>
      <c r="K261" s="72"/>
    </row>
    <row r="262" ht="15.75" customHeight="1">
      <c r="A262" s="72"/>
      <c r="B262" s="72"/>
      <c r="C262" s="72"/>
      <c r="D262" s="74"/>
      <c r="E262" s="82"/>
      <c r="F262" s="72"/>
      <c r="G262" s="77"/>
      <c r="H262" s="72"/>
      <c r="I262" s="72"/>
      <c r="J262" s="72"/>
      <c r="K262" s="72"/>
    </row>
    <row r="263" ht="15.75" customHeight="1">
      <c r="A263" s="72"/>
      <c r="B263" s="72"/>
      <c r="C263" s="72"/>
      <c r="D263" s="74"/>
      <c r="E263" s="82"/>
      <c r="F263" s="72"/>
      <c r="G263" s="77"/>
      <c r="H263" s="72"/>
      <c r="I263" s="72"/>
      <c r="J263" s="72"/>
      <c r="K263" s="72"/>
    </row>
    <row r="264" ht="15.75" customHeight="1">
      <c r="A264" s="72"/>
      <c r="B264" s="72"/>
      <c r="C264" s="72"/>
      <c r="D264" s="74"/>
      <c r="E264" s="82"/>
      <c r="F264" s="72"/>
      <c r="G264" s="77"/>
      <c r="H264" s="72"/>
      <c r="I264" s="72"/>
      <c r="J264" s="72"/>
      <c r="K264" s="72"/>
    </row>
    <row r="265" ht="15.75" customHeight="1">
      <c r="A265" s="72"/>
      <c r="B265" s="72"/>
      <c r="C265" s="72"/>
      <c r="D265" s="74"/>
      <c r="E265" s="82"/>
      <c r="F265" s="72"/>
      <c r="G265" s="77"/>
      <c r="H265" s="72"/>
      <c r="I265" s="72"/>
      <c r="J265" s="72"/>
      <c r="K265" s="72"/>
    </row>
    <row r="266" ht="15.75" customHeight="1">
      <c r="A266" s="72"/>
      <c r="B266" s="72"/>
      <c r="C266" s="72"/>
      <c r="D266" s="74"/>
      <c r="E266" s="82"/>
      <c r="F266" s="72"/>
      <c r="G266" s="77"/>
      <c r="H266" s="72"/>
      <c r="I266" s="72"/>
      <c r="J266" s="72"/>
      <c r="K266" s="72"/>
    </row>
    <row r="267" ht="15.75" customHeight="1">
      <c r="A267" s="72"/>
      <c r="B267" s="72"/>
      <c r="C267" s="72"/>
      <c r="D267" s="74"/>
      <c r="E267" s="82"/>
      <c r="F267" s="72"/>
      <c r="G267" s="77"/>
      <c r="H267" s="72"/>
      <c r="I267" s="72"/>
      <c r="J267" s="72"/>
      <c r="K267" s="72"/>
    </row>
    <row r="268" ht="15.75" customHeight="1">
      <c r="A268" s="72"/>
      <c r="B268" s="72"/>
      <c r="C268" s="72"/>
      <c r="D268" s="74"/>
      <c r="E268" s="82"/>
      <c r="F268" s="72"/>
      <c r="G268" s="77"/>
      <c r="H268" s="72"/>
      <c r="I268" s="72"/>
      <c r="J268" s="72"/>
      <c r="K268" s="72"/>
    </row>
    <row r="269" ht="15.75" customHeight="1">
      <c r="A269" s="72"/>
      <c r="B269" s="72"/>
      <c r="C269" s="72"/>
      <c r="D269" s="74"/>
      <c r="E269" s="82"/>
      <c r="F269" s="72"/>
      <c r="G269" s="77"/>
      <c r="H269" s="72"/>
      <c r="I269" s="72"/>
      <c r="J269" s="72"/>
      <c r="K269" s="72"/>
    </row>
    <row r="270" ht="15.75" customHeight="1">
      <c r="A270" s="72"/>
      <c r="B270" s="72"/>
      <c r="C270" s="72"/>
      <c r="D270" s="74"/>
      <c r="E270" s="82"/>
      <c r="F270" s="72"/>
      <c r="G270" s="77"/>
      <c r="H270" s="72"/>
      <c r="I270" s="72"/>
      <c r="J270" s="72"/>
      <c r="K270" s="72"/>
    </row>
    <row r="271" ht="15.75" customHeight="1">
      <c r="A271" s="72"/>
      <c r="B271" s="72"/>
      <c r="C271" s="72"/>
      <c r="D271" s="74"/>
      <c r="E271" s="82"/>
      <c r="F271" s="72"/>
      <c r="G271" s="77"/>
      <c r="H271" s="72"/>
      <c r="I271" s="72"/>
      <c r="J271" s="72"/>
      <c r="K271" s="72"/>
    </row>
    <row r="272" ht="15.75" customHeight="1">
      <c r="A272" s="72"/>
      <c r="B272" s="72"/>
      <c r="C272" s="72"/>
      <c r="D272" s="74"/>
      <c r="E272" s="82"/>
      <c r="F272" s="72"/>
      <c r="G272" s="77"/>
      <c r="H272" s="72"/>
      <c r="I272" s="72"/>
      <c r="J272" s="72"/>
      <c r="K272" s="72"/>
    </row>
    <row r="273" ht="15.75" customHeight="1">
      <c r="A273" s="72"/>
      <c r="B273" s="72"/>
      <c r="C273" s="72"/>
      <c r="D273" s="74"/>
      <c r="E273" s="82"/>
      <c r="F273" s="72"/>
      <c r="G273" s="77"/>
      <c r="H273" s="72"/>
      <c r="I273" s="72"/>
      <c r="J273" s="72"/>
      <c r="K273" s="72"/>
    </row>
    <row r="274" ht="15.75" customHeight="1">
      <c r="A274" s="72"/>
      <c r="B274" s="72"/>
      <c r="C274" s="72"/>
      <c r="D274" s="74"/>
      <c r="E274" s="82"/>
      <c r="F274" s="72"/>
      <c r="G274" s="77"/>
      <c r="H274" s="72"/>
      <c r="I274" s="72"/>
      <c r="J274" s="72"/>
      <c r="K274" s="72"/>
    </row>
    <row r="275" ht="15.75" customHeight="1">
      <c r="A275" s="72"/>
      <c r="B275" s="72"/>
      <c r="C275" s="72"/>
      <c r="D275" s="74"/>
      <c r="E275" s="82"/>
      <c r="F275" s="72"/>
      <c r="G275" s="77"/>
      <c r="H275" s="72"/>
      <c r="I275" s="72"/>
      <c r="J275" s="72"/>
      <c r="K275" s="72"/>
    </row>
    <row r="276" ht="15.75" customHeight="1">
      <c r="A276" s="72"/>
      <c r="B276" s="72"/>
      <c r="C276" s="72"/>
      <c r="D276" s="74"/>
      <c r="E276" s="82"/>
      <c r="F276" s="72"/>
      <c r="G276" s="77"/>
      <c r="H276" s="72"/>
      <c r="I276" s="72"/>
      <c r="J276" s="72"/>
      <c r="K276" s="72"/>
    </row>
    <row r="277" ht="15.75" customHeight="1">
      <c r="A277" s="72"/>
      <c r="B277" s="72"/>
      <c r="C277" s="72"/>
      <c r="D277" s="74"/>
      <c r="E277" s="82"/>
      <c r="F277" s="72"/>
      <c r="G277" s="77"/>
      <c r="H277" s="72"/>
      <c r="I277" s="72"/>
      <c r="J277" s="72"/>
      <c r="K277" s="72"/>
    </row>
    <row r="278" ht="15.75" customHeight="1">
      <c r="A278" s="72"/>
      <c r="B278" s="72"/>
      <c r="C278" s="72"/>
      <c r="D278" s="74"/>
      <c r="E278" s="82"/>
      <c r="F278" s="72"/>
      <c r="G278" s="77"/>
      <c r="H278" s="72"/>
      <c r="I278" s="72"/>
      <c r="J278" s="72"/>
      <c r="K278" s="72"/>
    </row>
    <row r="279" ht="15.75" customHeight="1">
      <c r="A279" s="72"/>
      <c r="B279" s="72"/>
      <c r="C279" s="72"/>
      <c r="D279" s="74"/>
      <c r="E279" s="82"/>
      <c r="F279" s="72"/>
      <c r="G279" s="77"/>
      <c r="H279" s="72"/>
      <c r="I279" s="72"/>
      <c r="J279" s="72"/>
      <c r="K279" s="72"/>
    </row>
    <row r="280" ht="15.75" customHeight="1">
      <c r="A280" s="72"/>
      <c r="B280" s="72"/>
      <c r="C280" s="72"/>
      <c r="D280" s="74"/>
      <c r="E280" s="82"/>
      <c r="F280" s="72"/>
      <c r="G280" s="77"/>
      <c r="H280" s="72"/>
      <c r="I280" s="72"/>
      <c r="J280" s="72"/>
      <c r="K280" s="72"/>
    </row>
    <row r="281" ht="15.75" customHeight="1">
      <c r="A281" s="72"/>
      <c r="B281" s="72"/>
      <c r="C281" s="72"/>
      <c r="D281" s="74"/>
      <c r="E281" s="82"/>
      <c r="F281" s="72"/>
      <c r="G281" s="77"/>
      <c r="H281" s="72"/>
      <c r="I281" s="72"/>
      <c r="J281" s="72"/>
      <c r="K281" s="72"/>
    </row>
    <row r="282" ht="15.75" customHeight="1">
      <c r="A282" s="72"/>
      <c r="B282" s="72"/>
      <c r="C282" s="72"/>
      <c r="D282" s="74"/>
      <c r="E282" s="82"/>
      <c r="F282" s="72"/>
      <c r="G282" s="77"/>
      <c r="H282" s="72"/>
      <c r="I282" s="72"/>
      <c r="J282" s="72"/>
      <c r="K282" s="72"/>
    </row>
    <row r="283" ht="15.75" customHeight="1">
      <c r="A283" s="72"/>
      <c r="B283" s="72"/>
      <c r="C283" s="72"/>
      <c r="D283" s="74"/>
      <c r="E283" s="82"/>
      <c r="F283" s="72"/>
      <c r="G283" s="77"/>
      <c r="H283" s="72"/>
      <c r="I283" s="72"/>
      <c r="J283" s="72"/>
      <c r="K283" s="72"/>
    </row>
    <row r="284" ht="15.75" customHeight="1">
      <c r="A284" s="72"/>
      <c r="B284" s="72"/>
      <c r="C284" s="72"/>
      <c r="D284" s="74"/>
      <c r="E284" s="82"/>
      <c r="F284" s="72"/>
      <c r="G284" s="77"/>
      <c r="H284" s="72"/>
      <c r="I284" s="72"/>
      <c r="J284" s="72"/>
      <c r="K284" s="72"/>
    </row>
    <row r="285" ht="15.75" customHeight="1">
      <c r="A285" s="72"/>
      <c r="B285" s="72"/>
      <c r="C285" s="72"/>
      <c r="D285" s="74"/>
      <c r="E285" s="82"/>
      <c r="F285" s="72"/>
      <c r="G285" s="77"/>
      <c r="H285" s="72"/>
      <c r="I285" s="72"/>
      <c r="J285" s="72"/>
      <c r="K285" s="72"/>
    </row>
    <row r="286" ht="15.75" customHeight="1">
      <c r="A286" s="72"/>
      <c r="B286" s="72"/>
      <c r="C286" s="72"/>
      <c r="D286" s="74"/>
      <c r="E286" s="82"/>
      <c r="F286" s="72"/>
      <c r="G286" s="77"/>
      <c r="H286" s="72"/>
      <c r="I286" s="72"/>
      <c r="J286" s="72"/>
      <c r="K286" s="72"/>
    </row>
    <row r="287" ht="15.75" customHeight="1">
      <c r="A287" s="72"/>
      <c r="B287" s="72"/>
      <c r="C287" s="72"/>
      <c r="D287" s="74"/>
      <c r="E287" s="82"/>
      <c r="F287" s="72"/>
      <c r="G287" s="77"/>
      <c r="H287" s="72"/>
      <c r="I287" s="72"/>
      <c r="J287" s="72"/>
      <c r="K287" s="72"/>
    </row>
    <row r="288" ht="15.75" customHeight="1">
      <c r="A288" s="72"/>
      <c r="B288" s="72"/>
      <c r="C288" s="72"/>
      <c r="D288" s="74"/>
      <c r="E288" s="82"/>
      <c r="F288" s="72"/>
      <c r="G288" s="77"/>
      <c r="H288" s="72"/>
      <c r="I288" s="72"/>
      <c r="J288" s="72"/>
      <c r="K288" s="72"/>
    </row>
    <row r="289" ht="15.75" customHeight="1">
      <c r="A289" s="72"/>
      <c r="B289" s="72"/>
      <c r="C289" s="72"/>
      <c r="D289" s="74"/>
      <c r="E289" s="82"/>
      <c r="F289" s="72"/>
      <c r="G289" s="77"/>
      <c r="H289" s="72"/>
      <c r="I289" s="72"/>
      <c r="J289" s="72"/>
      <c r="K289" s="72"/>
    </row>
    <row r="290" ht="15.75" customHeight="1">
      <c r="A290" s="72"/>
      <c r="B290" s="72"/>
      <c r="C290" s="72"/>
      <c r="D290" s="74"/>
      <c r="E290" s="82"/>
      <c r="F290" s="72"/>
      <c r="G290" s="77"/>
      <c r="H290" s="72"/>
      <c r="I290" s="72"/>
      <c r="J290" s="72"/>
      <c r="K290" s="72"/>
    </row>
    <row r="291" ht="15.75" customHeight="1">
      <c r="A291" s="72"/>
      <c r="B291" s="72"/>
      <c r="C291" s="72"/>
      <c r="D291" s="74"/>
      <c r="E291" s="82"/>
      <c r="F291" s="72"/>
      <c r="G291" s="77"/>
      <c r="H291" s="72"/>
      <c r="I291" s="72"/>
      <c r="J291" s="72"/>
      <c r="K291" s="72"/>
    </row>
    <row r="292" ht="15.75" customHeight="1">
      <c r="A292" s="72"/>
      <c r="B292" s="72"/>
      <c r="C292" s="72"/>
      <c r="D292" s="74"/>
      <c r="E292" s="82"/>
      <c r="F292" s="72"/>
      <c r="G292" s="77"/>
      <c r="H292" s="72"/>
      <c r="I292" s="72"/>
      <c r="J292" s="72"/>
      <c r="K292" s="72"/>
    </row>
    <row r="293" ht="15.75" customHeight="1">
      <c r="A293" s="72"/>
      <c r="B293" s="72"/>
      <c r="C293" s="72"/>
      <c r="D293" s="74"/>
      <c r="E293" s="82"/>
      <c r="F293" s="72"/>
      <c r="G293" s="77"/>
      <c r="H293" s="72"/>
      <c r="I293" s="72"/>
      <c r="J293" s="72"/>
      <c r="K293" s="72"/>
    </row>
    <row r="294" ht="15.75" customHeight="1">
      <c r="A294" s="72"/>
      <c r="B294" s="72"/>
      <c r="C294" s="72"/>
      <c r="D294" s="74"/>
      <c r="E294" s="82"/>
      <c r="F294" s="72"/>
      <c r="G294" s="77"/>
      <c r="H294" s="72"/>
      <c r="I294" s="72"/>
      <c r="J294" s="72"/>
      <c r="K294" s="72"/>
    </row>
    <row r="295" ht="15.75" customHeight="1">
      <c r="A295" s="72"/>
      <c r="B295" s="72"/>
      <c r="C295" s="72"/>
      <c r="D295" s="74"/>
      <c r="E295" s="82"/>
      <c r="F295" s="72"/>
      <c r="G295" s="77"/>
      <c r="H295" s="72"/>
      <c r="I295" s="72"/>
      <c r="J295" s="72"/>
      <c r="K295" s="72"/>
    </row>
    <row r="296" ht="15.75" customHeight="1">
      <c r="A296" s="72"/>
      <c r="B296" s="72"/>
      <c r="C296" s="72"/>
      <c r="D296" s="74"/>
      <c r="E296" s="82"/>
      <c r="F296" s="72"/>
      <c r="G296" s="77"/>
      <c r="H296" s="72"/>
      <c r="I296" s="72"/>
      <c r="J296" s="72"/>
      <c r="K296" s="72"/>
    </row>
    <row r="297" ht="15.75" customHeight="1">
      <c r="A297" s="72"/>
      <c r="B297" s="72"/>
      <c r="C297" s="72"/>
      <c r="D297" s="74"/>
      <c r="E297" s="82"/>
      <c r="F297" s="72"/>
      <c r="G297" s="77"/>
      <c r="H297" s="72"/>
      <c r="I297" s="72"/>
      <c r="J297" s="72"/>
      <c r="K297" s="72"/>
    </row>
    <row r="298" ht="15.75" customHeight="1">
      <c r="A298" s="72"/>
      <c r="B298" s="72"/>
      <c r="C298" s="72"/>
      <c r="D298" s="74"/>
      <c r="E298" s="82"/>
      <c r="F298" s="72"/>
      <c r="G298" s="77"/>
      <c r="H298" s="72"/>
      <c r="I298" s="72"/>
      <c r="J298" s="72"/>
      <c r="K298" s="72"/>
    </row>
    <row r="299" ht="15.75" customHeight="1">
      <c r="A299" s="72"/>
      <c r="B299" s="72"/>
      <c r="C299" s="72"/>
      <c r="D299" s="74"/>
      <c r="E299" s="82"/>
      <c r="F299" s="72"/>
      <c r="G299" s="77"/>
      <c r="H299" s="72"/>
      <c r="I299" s="72"/>
      <c r="J299" s="72"/>
      <c r="K299" s="72"/>
    </row>
    <row r="300" ht="15.75" customHeight="1">
      <c r="A300" s="72"/>
      <c r="B300" s="72"/>
      <c r="C300" s="72"/>
      <c r="D300" s="74"/>
      <c r="E300" s="82"/>
      <c r="F300" s="72"/>
      <c r="G300" s="77"/>
      <c r="H300" s="72"/>
      <c r="I300" s="72"/>
      <c r="J300" s="72"/>
      <c r="K300" s="72"/>
    </row>
    <row r="301" ht="15.75" customHeight="1">
      <c r="A301" s="72"/>
      <c r="B301" s="72"/>
      <c r="C301" s="72"/>
      <c r="D301" s="74"/>
      <c r="E301" s="82"/>
      <c r="F301" s="72"/>
      <c r="G301" s="77"/>
      <c r="H301" s="72"/>
      <c r="I301" s="72"/>
      <c r="J301" s="72"/>
      <c r="K301" s="72"/>
    </row>
    <row r="302" ht="15.75" customHeight="1">
      <c r="A302" s="72"/>
      <c r="B302" s="72"/>
      <c r="C302" s="72"/>
      <c r="D302" s="74"/>
      <c r="E302" s="82"/>
      <c r="F302" s="72"/>
      <c r="G302" s="77"/>
      <c r="H302" s="72"/>
      <c r="I302" s="72"/>
      <c r="J302" s="72"/>
      <c r="K302" s="72"/>
    </row>
    <row r="303" ht="15.75" customHeight="1">
      <c r="A303" s="72"/>
      <c r="B303" s="72"/>
      <c r="C303" s="72"/>
      <c r="D303" s="74"/>
      <c r="E303" s="82"/>
      <c r="F303" s="72"/>
      <c r="G303" s="77"/>
      <c r="H303" s="72"/>
      <c r="I303" s="72"/>
      <c r="J303" s="72"/>
      <c r="K303" s="72"/>
    </row>
    <row r="304" ht="15.75" customHeight="1">
      <c r="A304" s="72"/>
      <c r="B304" s="72"/>
      <c r="C304" s="72"/>
      <c r="D304" s="74"/>
      <c r="E304" s="82"/>
      <c r="F304" s="72"/>
      <c r="G304" s="77"/>
      <c r="H304" s="72"/>
      <c r="I304" s="72"/>
      <c r="J304" s="72"/>
      <c r="K304" s="72"/>
    </row>
    <row r="305" ht="15.75" customHeight="1">
      <c r="A305" s="72"/>
      <c r="B305" s="72"/>
      <c r="C305" s="72"/>
      <c r="D305" s="74"/>
      <c r="E305" s="82"/>
      <c r="F305" s="72"/>
      <c r="G305" s="77"/>
      <c r="H305" s="72"/>
      <c r="I305" s="72"/>
      <c r="J305" s="72"/>
      <c r="K305" s="72"/>
    </row>
    <row r="306" ht="15.75" customHeight="1">
      <c r="A306" s="72"/>
      <c r="B306" s="72"/>
      <c r="C306" s="72"/>
      <c r="D306" s="74"/>
      <c r="E306" s="82"/>
      <c r="F306" s="72"/>
      <c r="G306" s="77"/>
      <c r="H306" s="72"/>
      <c r="I306" s="72"/>
      <c r="J306" s="72"/>
      <c r="K306" s="72"/>
    </row>
    <row r="307" ht="15.75" customHeight="1">
      <c r="A307" s="72"/>
      <c r="B307" s="72"/>
      <c r="C307" s="72"/>
      <c r="D307" s="74"/>
      <c r="E307" s="82"/>
      <c r="F307" s="72"/>
      <c r="G307" s="77"/>
      <c r="H307" s="72"/>
      <c r="I307" s="72"/>
      <c r="J307" s="72"/>
      <c r="K307" s="72"/>
    </row>
    <row r="308" ht="15.75" customHeight="1">
      <c r="A308" s="72"/>
      <c r="B308" s="72"/>
      <c r="C308" s="72"/>
      <c r="D308" s="74"/>
      <c r="E308" s="82"/>
      <c r="F308" s="72"/>
      <c r="G308" s="77"/>
      <c r="H308" s="72"/>
      <c r="I308" s="72"/>
      <c r="J308" s="72"/>
      <c r="K308" s="72"/>
    </row>
    <row r="309" ht="15.75" customHeight="1">
      <c r="A309" s="72"/>
      <c r="B309" s="72"/>
      <c r="C309" s="72"/>
      <c r="D309" s="74"/>
      <c r="E309" s="82"/>
      <c r="F309" s="72"/>
      <c r="G309" s="77"/>
      <c r="H309" s="72"/>
      <c r="I309" s="72"/>
      <c r="J309" s="72"/>
      <c r="K309" s="72"/>
    </row>
    <row r="310" ht="15.75" customHeight="1">
      <c r="A310" s="72"/>
      <c r="B310" s="72"/>
      <c r="C310" s="72"/>
      <c r="D310" s="74"/>
      <c r="E310" s="82"/>
      <c r="F310" s="72"/>
      <c r="G310" s="77"/>
      <c r="H310" s="72"/>
      <c r="I310" s="72"/>
      <c r="J310" s="72"/>
      <c r="K310" s="72"/>
    </row>
    <row r="311" ht="15.75" customHeight="1">
      <c r="A311" s="72"/>
      <c r="B311" s="72"/>
      <c r="C311" s="72"/>
      <c r="D311" s="74"/>
      <c r="E311" s="82"/>
      <c r="F311" s="72"/>
      <c r="G311" s="77"/>
      <c r="H311" s="72"/>
      <c r="I311" s="72"/>
      <c r="J311" s="72"/>
      <c r="K311" s="72"/>
    </row>
    <row r="312" ht="15.75" customHeight="1">
      <c r="A312" s="72"/>
      <c r="B312" s="72"/>
      <c r="C312" s="72"/>
      <c r="D312" s="74"/>
      <c r="E312" s="82"/>
      <c r="F312" s="72"/>
      <c r="G312" s="77"/>
      <c r="H312" s="72"/>
      <c r="I312" s="72"/>
      <c r="J312" s="72"/>
      <c r="K312" s="72"/>
    </row>
    <row r="313" ht="15.75" customHeight="1">
      <c r="A313" s="72"/>
      <c r="B313" s="72"/>
      <c r="C313" s="72"/>
      <c r="D313" s="74"/>
      <c r="E313" s="82"/>
      <c r="F313" s="72"/>
      <c r="G313" s="77"/>
      <c r="H313" s="72"/>
      <c r="I313" s="72"/>
      <c r="J313" s="72"/>
      <c r="K313" s="72"/>
    </row>
    <row r="314" ht="15.75" customHeight="1">
      <c r="A314" s="72"/>
      <c r="B314" s="72"/>
      <c r="C314" s="72"/>
      <c r="D314" s="74"/>
      <c r="E314" s="82"/>
      <c r="F314" s="72"/>
      <c r="G314" s="77"/>
      <c r="H314" s="72"/>
      <c r="I314" s="72"/>
      <c r="J314" s="72"/>
      <c r="K314" s="72"/>
    </row>
    <row r="315" ht="15.75" customHeight="1">
      <c r="A315" s="72"/>
      <c r="B315" s="72"/>
      <c r="C315" s="72"/>
      <c r="D315" s="74"/>
      <c r="E315" s="82"/>
      <c r="F315" s="72"/>
      <c r="G315" s="77"/>
      <c r="H315" s="72"/>
      <c r="I315" s="72"/>
      <c r="J315" s="72"/>
      <c r="K315" s="72"/>
    </row>
    <row r="316" ht="15.75" customHeight="1">
      <c r="A316" s="72"/>
      <c r="B316" s="72"/>
      <c r="C316" s="72"/>
      <c r="D316" s="74"/>
      <c r="E316" s="82"/>
      <c r="F316" s="72"/>
      <c r="G316" s="77"/>
      <c r="H316" s="72"/>
      <c r="I316" s="72"/>
      <c r="J316" s="72"/>
      <c r="K316" s="72"/>
    </row>
    <row r="317" ht="15.75" customHeight="1">
      <c r="A317" s="72"/>
      <c r="B317" s="72"/>
      <c r="C317" s="72"/>
      <c r="D317" s="74"/>
      <c r="E317" s="82"/>
      <c r="F317" s="72"/>
      <c r="G317" s="77"/>
      <c r="H317" s="72"/>
      <c r="I317" s="72"/>
      <c r="J317" s="72"/>
      <c r="K317" s="72"/>
    </row>
    <row r="318" ht="15.75" customHeight="1">
      <c r="A318" s="72"/>
      <c r="B318" s="72"/>
      <c r="C318" s="72"/>
      <c r="D318" s="74"/>
      <c r="E318" s="82"/>
      <c r="F318" s="72"/>
      <c r="G318" s="77"/>
      <c r="H318" s="72"/>
      <c r="I318" s="72"/>
      <c r="J318" s="72"/>
      <c r="K318" s="72"/>
    </row>
    <row r="319" ht="15.75" customHeight="1">
      <c r="A319" s="72"/>
      <c r="B319" s="72"/>
      <c r="C319" s="72"/>
      <c r="D319" s="74"/>
      <c r="E319" s="82"/>
      <c r="F319" s="72"/>
      <c r="G319" s="77"/>
      <c r="H319" s="72"/>
      <c r="I319" s="72"/>
      <c r="J319" s="72"/>
      <c r="K319" s="72"/>
    </row>
    <row r="320" ht="15.75" customHeight="1">
      <c r="A320" s="72"/>
      <c r="B320" s="72"/>
      <c r="C320" s="72"/>
      <c r="D320" s="74"/>
      <c r="E320" s="82"/>
      <c r="F320" s="72"/>
      <c r="G320" s="77"/>
      <c r="H320" s="72"/>
      <c r="I320" s="72"/>
      <c r="J320" s="72"/>
      <c r="K320" s="72"/>
    </row>
    <row r="321" ht="15.75" customHeight="1">
      <c r="A321" s="72"/>
      <c r="B321" s="72"/>
      <c r="C321" s="72"/>
      <c r="D321" s="74"/>
      <c r="E321" s="82"/>
      <c r="F321" s="72"/>
      <c r="G321" s="77"/>
      <c r="H321" s="72"/>
      <c r="I321" s="72"/>
      <c r="J321" s="72"/>
      <c r="K321" s="72"/>
    </row>
    <row r="322" ht="15.75" customHeight="1">
      <c r="A322" s="72"/>
      <c r="B322" s="72"/>
      <c r="C322" s="72"/>
      <c r="D322" s="74"/>
      <c r="E322" s="82"/>
      <c r="F322" s="72"/>
      <c r="G322" s="77"/>
      <c r="H322" s="72"/>
      <c r="I322" s="72"/>
      <c r="J322" s="72"/>
      <c r="K322" s="72"/>
    </row>
    <row r="323" ht="15.75" customHeight="1">
      <c r="A323" s="72"/>
      <c r="B323" s="72"/>
      <c r="C323" s="72"/>
      <c r="D323" s="74"/>
      <c r="E323" s="82"/>
      <c r="F323" s="72"/>
      <c r="G323" s="77"/>
      <c r="H323" s="72"/>
      <c r="I323" s="72"/>
      <c r="J323" s="72"/>
      <c r="K323" s="72"/>
    </row>
    <row r="324" ht="15.75" customHeight="1">
      <c r="A324" s="72"/>
      <c r="B324" s="72"/>
      <c r="C324" s="72"/>
      <c r="D324" s="74"/>
      <c r="E324" s="82"/>
      <c r="F324" s="72"/>
      <c r="G324" s="77"/>
      <c r="H324" s="72"/>
      <c r="I324" s="72"/>
      <c r="J324" s="72"/>
      <c r="K324" s="72"/>
    </row>
    <row r="325" ht="15.75" customHeight="1">
      <c r="A325" s="72"/>
      <c r="B325" s="72"/>
      <c r="C325" s="72"/>
      <c r="D325" s="74"/>
      <c r="E325" s="82"/>
      <c r="F325" s="72"/>
      <c r="G325" s="77"/>
      <c r="H325" s="72"/>
      <c r="I325" s="72"/>
      <c r="J325" s="72"/>
      <c r="K325" s="72"/>
    </row>
    <row r="326" ht="15.75" customHeight="1">
      <c r="A326" s="72"/>
      <c r="B326" s="72"/>
      <c r="C326" s="72"/>
      <c r="D326" s="74"/>
      <c r="E326" s="82"/>
      <c r="F326" s="72"/>
      <c r="G326" s="77"/>
      <c r="H326" s="72"/>
      <c r="I326" s="72"/>
      <c r="J326" s="72"/>
      <c r="K326" s="72"/>
    </row>
    <row r="327" ht="15.75" customHeight="1">
      <c r="A327" s="72"/>
      <c r="B327" s="72"/>
      <c r="C327" s="72"/>
      <c r="D327" s="74"/>
      <c r="E327" s="82"/>
      <c r="F327" s="72"/>
      <c r="G327" s="77"/>
      <c r="H327" s="72"/>
      <c r="I327" s="72"/>
      <c r="J327" s="72"/>
      <c r="K327" s="72"/>
    </row>
    <row r="328" ht="15.75" customHeight="1">
      <c r="A328" s="72"/>
      <c r="B328" s="72"/>
      <c r="C328" s="72"/>
      <c r="D328" s="74"/>
      <c r="E328" s="82"/>
      <c r="F328" s="72"/>
      <c r="G328" s="77"/>
      <c r="H328" s="72"/>
      <c r="I328" s="72"/>
      <c r="J328" s="72"/>
      <c r="K328" s="72"/>
    </row>
    <row r="329" ht="15.75" customHeight="1">
      <c r="A329" s="72"/>
      <c r="B329" s="72"/>
      <c r="C329" s="72"/>
      <c r="D329" s="74"/>
      <c r="E329" s="82"/>
      <c r="F329" s="72"/>
      <c r="G329" s="77"/>
      <c r="H329" s="72"/>
      <c r="I329" s="72"/>
      <c r="J329" s="72"/>
      <c r="K329" s="72"/>
    </row>
    <row r="330" ht="15.75" customHeight="1">
      <c r="A330" s="72"/>
      <c r="B330" s="72"/>
      <c r="C330" s="72"/>
      <c r="D330" s="74"/>
      <c r="E330" s="82"/>
      <c r="F330" s="72"/>
      <c r="G330" s="77"/>
      <c r="H330" s="72"/>
      <c r="I330" s="72"/>
      <c r="J330" s="72"/>
      <c r="K330" s="72"/>
    </row>
    <row r="331" ht="15.75" customHeight="1">
      <c r="A331" s="72"/>
      <c r="B331" s="72"/>
      <c r="C331" s="72"/>
      <c r="D331" s="74"/>
      <c r="E331" s="82"/>
      <c r="F331" s="72"/>
      <c r="G331" s="77"/>
      <c r="H331" s="72"/>
      <c r="I331" s="72"/>
      <c r="J331" s="72"/>
      <c r="K331" s="72"/>
    </row>
    <row r="332" ht="15.75" customHeight="1">
      <c r="A332" s="72"/>
      <c r="B332" s="72"/>
      <c r="C332" s="72"/>
      <c r="D332" s="74"/>
      <c r="E332" s="82"/>
      <c r="F332" s="72"/>
      <c r="G332" s="77"/>
      <c r="H332" s="72"/>
      <c r="I332" s="72"/>
      <c r="J332" s="72"/>
      <c r="K332" s="72"/>
    </row>
    <row r="333" ht="15.75" customHeight="1">
      <c r="A333" s="72"/>
      <c r="B333" s="72"/>
      <c r="C333" s="72"/>
      <c r="D333" s="74"/>
      <c r="E333" s="82"/>
      <c r="F333" s="72"/>
      <c r="G333" s="77"/>
      <c r="H333" s="72"/>
      <c r="I333" s="72"/>
      <c r="J333" s="72"/>
      <c r="K333" s="72"/>
    </row>
    <row r="334" ht="15.75" customHeight="1">
      <c r="A334" s="72"/>
      <c r="B334" s="72"/>
      <c r="C334" s="72"/>
      <c r="D334" s="74"/>
      <c r="E334" s="82"/>
      <c r="F334" s="72"/>
      <c r="G334" s="77"/>
      <c r="H334" s="72"/>
      <c r="I334" s="72"/>
      <c r="J334" s="72"/>
      <c r="K334" s="72"/>
    </row>
    <row r="335" ht="15.75" customHeight="1">
      <c r="A335" s="72"/>
      <c r="B335" s="72"/>
      <c r="C335" s="72"/>
      <c r="D335" s="74"/>
      <c r="E335" s="82"/>
      <c r="F335" s="72"/>
      <c r="G335" s="77"/>
      <c r="H335" s="72"/>
      <c r="I335" s="72"/>
      <c r="J335" s="72"/>
      <c r="K335" s="72"/>
    </row>
    <row r="336" ht="15.75" customHeight="1">
      <c r="A336" s="72"/>
      <c r="B336" s="72"/>
      <c r="C336" s="72"/>
      <c r="D336" s="74"/>
      <c r="E336" s="82"/>
      <c r="F336" s="72"/>
      <c r="G336" s="77"/>
      <c r="H336" s="72"/>
      <c r="I336" s="72"/>
      <c r="J336" s="72"/>
      <c r="K336" s="72"/>
    </row>
    <row r="337" ht="15.75" customHeight="1">
      <c r="A337" s="72"/>
      <c r="B337" s="72"/>
      <c r="C337" s="72"/>
      <c r="D337" s="74"/>
      <c r="E337" s="82"/>
      <c r="F337" s="72"/>
      <c r="G337" s="77"/>
      <c r="H337" s="72"/>
      <c r="I337" s="72"/>
      <c r="J337" s="72"/>
      <c r="K337" s="72"/>
    </row>
    <row r="338" ht="15.75" customHeight="1">
      <c r="A338" s="72"/>
      <c r="B338" s="72"/>
      <c r="C338" s="72"/>
      <c r="D338" s="74"/>
      <c r="E338" s="82"/>
      <c r="F338" s="72"/>
      <c r="G338" s="77"/>
      <c r="H338" s="72"/>
      <c r="I338" s="72"/>
      <c r="J338" s="72"/>
      <c r="K338" s="72"/>
    </row>
    <row r="339" ht="15.75" customHeight="1">
      <c r="A339" s="72"/>
      <c r="B339" s="72"/>
      <c r="C339" s="72"/>
      <c r="D339" s="74"/>
      <c r="E339" s="82"/>
      <c r="F339" s="72"/>
      <c r="G339" s="77"/>
      <c r="H339" s="72"/>
      <c r="I339" s="72"/>
      <c r="J339" s="72"/>
      <c r="K339" s="72"/>
    </row>
    <row r="340" ht="15.75" customHeight="1">
      <c r="A340" s="72"/>
      <c r="B340" s="72"/>
      <c r="C340" s="72"/>
      <c r="D340" s="74"/>
      <c r="E340" s="82"/>
      <c r="F340" s="72"/>
      <c r="G340" s="77"/>
      <c r="H340" s="72"/>
      <c r="I340" s="72"/>
      <c r="J340" s="72"/>
      <c r="K340" s="72"/>
    </row>
    <row r="341" ht="15.75" customHeight="1">
      <c r="A341" s="72"/>
      <c r="B341" s="72"/>
      <c r="C341" s="72"/>
      <c r="D341" s="74"/>
      <c r="E341" s="82"/>
      <c r="F341" s="72"/>
      <c r="G341" s="77"/>
      <c r="H341" s="72"/>
      <c r="I341" s="72"/>
      <c r="J341" s="72"/>
      <c r="K341" s="72"/>
    </row>
    <row r="342" ht="15.75" customHeight="1">
      <c r="A342" s="72"/>
      <c r="B342" s="72"/>
      <c r="C342" s="72"/>
      <c r="D342" s="74"/>
      <c r="E342" s="82"/>
      <c r="F342" s="72"/>
      <c r="G342" s="77"/>
      <c r="H342" s="72"/>
      <c r="I342" s="72"/>
      <c r="J342" s="72"/>
      <c r="K342" s="72"/>
    </row>
    <row r="343" ht="15.75" customHeight="1">
      <c r="A343" s="72"/>
      <c r="B343" s="72"/>
      <c r="C343" s="72"/>
      <c r="D343" s="74"/>
      <c r="E343" s="82"/>
      <c r="F343" s="72"/>
      <c r="G343" s="77"/>
      <c r="H343" s="72"/>
      <c r="I343" s="72"/>
      <c r="J343" s="72"/>
      <c r="K343" s="72"/>
    </row>
    <row r="344" ht="15.75" customHeight="1">
      <c r="A344" s="72"/>
      <c r="B344" s="72"/>
      <c r="C344" s="72"/>
      <c r="D344" s="74"/>
      <c r="E344" s="82"/>
      <c r="F344" s="72"/>
      <c r="G344" s="77"/>
      <c r="H344" s="72"/>
      <c r="I344" s="72"/>
      <c r="J344" s="72"/>
      <c r="K344" s="72"/>
    </row>
    <row r="345" ht="15.75" customHeight="1">
      <c r="A345" s="72"/>
      <c r="B345" s="72"/>
      <c r="C345" s="72"/>
      <c r="D345" s="74"/>
      <c r="E345" s="82"/>
      <c r="F345" s="72"/>
      <c r="G345" s="77"/>
      <c r="H345" s="72"/>
      <c r="I345" s="72"/>
      <c r="J345" s="72"/>
      <c r="K345" s="72"/>
    </row>
    <row r="346" ht="15.75" customHeight="1">
      <c r="A346" s="72"/>
      <c r="B346" s="72"/>
      <c r="C346" s="72"/>
      <c r="D346" s="74"/>
      <c r="E346" s="82"/>
      <c r="F346" s="72"/>
      <c r="G346" s="77"/>
      <c r="H346" s="72"/>
      <c r="I346" s="72"/>
      <c r="J346" s="72"/>
      <c r="K346" s="72"/>
    </row>
    <row r="347" ht="15.75" customHeight="1">
      <c r="A347" s="72"/>
      <c r="B347" s="72"/>
      <c r="C347" s="72"/>
      <c r="D347" s="74"/>
      <c r="E347" s="82"/>
      <c r="F347" s="72"/>
      <c r="G347" s="77"/>
      <c r="H347" s="72"/>
      <c r="I347" s="72"/>
      <c r="J347" s="72"/>
      <c r="K347" s="72"/>
    </row>
    <row r="348" ht="15.75" customHeight="1">
      <c r="A348" s="72"/>
      <c r="B348" s="72"/>
      <c r="C348" s="72"/>
      <c r="D348" s="74"/>
      <c r="E348" s="82"/>
      <c r="F348" s="72"/>
      <c r="G348" s="77"/>
      <c r="H348" s="72"/>
      <c r="I348" s="72"/>
      <c r="J348" s="72"/>
      <c r="K348" s="72"/>
    </row>
    <row r="349" ht="15.75" customHeight="1">
      <c r="A349" s="72"/>
      <c r="B349" s="72"/>
      <c r="C349" s="72"/>
      <c r="D349" s="74"/>
      <c r="E349" s="82"/>
      <c r="F349" s="72"/>
      <c r="G349" s="77"/>
      <c r="H349" s="72"/>
      <c r="I349" s="72"/>
      <c r="J349" s="72"/>
      <c r="K349" s="72"/>
    </row>
    <row r="350" ht="15.75" customHeight="1">
      <c r="A350" s="72"/>
      <c r="B350" s="72"/>
      <c r="C350" s="72"/>
      <c r="D350" s="74"/>
      <c r="E350" s="82"/>
      <c r="F350" s="72"/>
      <c r="G350" s="77"/>
      <c r="H350" s="72"/>
      <c r="I350" s="72"/>
      <c r="J350" s="72"/>
      <c r="K350" s="72"/>
    </row>
    <row r="351" ht="15.75" customHeight="1">
      <c r="A351" s="72"/>
      <c r="B351" s="72"/>
      <c r="C351" s="72"/>
      <c r="D351" s="74"/>
      <c r="E351" s="82"/>
      <c r="F351" s="72"/>
      <c r="G351" s="77"/>
      <c r="H351" s="72"/>
      <c r="I351" s="72"/>
      <c r="J351" s="72"/>
      <c r="K351" s="72"/>
    </row>
    <row r="352" ht="15.75" customHeight="1">
      <c r="A352" s="72"/>
      <c r="B352" s="72"/>
      <c r="C352" s="72"/>
      <c r="D352" s="74"/>
      <c r="E352" s="82"/>
      <c r="F352" s="72"/>
      <c r="G352" s="77"/>
      <c r="H352" s="72"/>
      <c r="I352" s="72"/>
      <c r="J352" s="72"/>
      <c r="K352" s="72"/>
    </row>
    <row r="353" ht="15.75" customHeight="1">
      <c r="A353" s="72"/>
      <c r="B353" s="72"/>
      <c r="C353" s="72"/>
      <c r="D353" s="74"/>
      <c r="E353" s="82"/>
      <c r="F353" s="72"/>
      <c r="G353" s="77"/>
      <c r="H353" s="72"/>
      <c r="I353" s="72"/>
      <c r="J353" s="72"/>
      <c r="K353" s="72"/>
    </row>
    <row r="354" ht="15.75" customHeight="1">
      <c r="A354" s="72"/>
      <c r="B354" s="72"/>
      <c r="C354" s="72"/>
      <c r="D354" s="74"/>
      <c r="E354" s="82"/>
      <c r="F354" s="72"/>
      <c r="G354" s="77"/>
      <c r="H354" s="72"/>
      <c r="I354" s="72"/>
      <c r="J354" s="72"/>
      <c r="K354" s="72"/>
    </row>
    <row r="355" ht="15.75" customHeight="1">
      <c r="A355" s="72"/>
      <c r="B355" s="72"/>
      <c r="C355" s="72"/>
      <c r="D355" s="74"/>
      <c r="E355" s="82"/>
      <c r="F355" s="72"/>
      <c r="G355" s="77"/>
      <c r="H355" s="72"/>
      <c r="I355" s="72"/>
      <c r="J355" s="72"/>
      <c r="K355" s="72"/>
    </row>
    <row r="356" ht="15.75" customHeight="1">
      <c r="A356" s="72"/>
      <c r="B356" s="72"/>
      <c r="C356" s="72"/>
      <c r="D356" s="74"/>
      <c r="E356" s="82"/>
      <c r="F356" s="72"/>
      <c r="G356" s="77"/>
      <c r="H356" s="72"/>
      <c r="I356" s="72"/>
      <c r="J356" s="72"/>
      <c r="K356" s="72"/>
    </row>
    <row r="357" ht="15.75" customHeight="1">
      <c r="A357" s="72"/>
      <c r="B357" s="72"/>
      <c r="C357" s="72"/>
      <c r="D357" s="74"/>
      <c r="E357" s="82"/>
      <c r="F357" s="72"/>
      <c r="G357" s="77"/>
      <c r="H357" s="72"/>
      <c r="I357" s="72"/>
      <c r="J357" s="72"/>
      <c r="K357" s="72"/>
    </row>
    <row r="358" ht="15.75" customHeight="1">
      <c r="A358" s="72"/>
      <c r="B358" s="72"/>
      <c r="C358" s="72"/>
      <c r="D358" s="74"/>
      <c r="E358" s="82"/>
      <c r="F358" s="72"/>
      <c r="G358" s="77"/>
      <c r="H358" s="72"/>
      <c r="I358" s="72"/>
      <c r="J358" s="72"/>
      <c r="K358" s="72"/>
    </row>
    <row r="359" ht="15.75" customHeight="1">
      <c r="A359" s="72"/>
      <c r="B359" s="72"/>
      <c r="C359" s="72"/>
      <c r="D359" s="74"/>
      <c r="E359" s="82"/>
      <c r="F359" s="72"/>
      <c r="G359" s="77"/>
      <c r="H359" s="72"/>
      <c r="I359" s="72"/>
      <c r="J359" s="72"/>
      <c r="K359" s="72"/>
    </row>
    <row r="360" ht="15.75" customHeight="1">
      <c r="A360" s="72"/>
      <c r="B360" s="72"/>
      <c r="C360" s="72"/>
      <c r="D360" s="74"/>
      <c r="E360" s="82"/>
      <c r="F360" s="72"/>
      <c r="G360" s="77"/>
      <c r="H360" s="72"/>
      <c r="I360" s="72"/>
      <c r="J360" s="72"/>
      <c r="K360" s="72"/>
    </row>
    <row r="361" ht="15.75" customHeight="1">
      <c r="A361" s="72"/>
      <c r="B361" s="72"/>
      <c r="C361" s="72"/>
      <c r="D361" s="74"/>
      <c r="E361" s="82"/>
      <c r="F361" s="72"/>
      <c r="G361" s="77"/>
      <c r="H361" s="72"/>
      <c r="I361" s="72"/>
      <c r="J361" s="72"/>
      <c r="K361" s="72"/>
    </row>
    <row r="362" ht="15.75" customHeight="1">
      <c r="A362" s="72"/>
      <c r="B362" s="72"/>
      <c r="C362" s="72"/>
      <c r="D362" s="74"/>
      <c r="E362" s="82"/>
      <c r="F362" s="72"/>
      <c r="G362" s="77"/>
      <c r="H362" s="72"/>
      <c r="I362" s="72"/>
      <c r="J362" s="72"/>
      <c r="K362" s="72"/>
    </row>
    <row r="363" ht="15.75" customHeight="1">
      <c r="A363" s="72"/>
      <c r="B363" s="72"/>
      <c r="C363" s="72"/>
      <c r="D363" s="74"/>
      <c r="E363" s="82"/>
      <c r="F363" s="72"/>
      <c r="G363" s="77"/>
      <c r="H363" s="72"/>
      <c r="I363" s="72"/>
      <c r="J363" s="72"/>
      <c r="K363" s="72"/>
    </row>
    <row r="364" ht="15.75" customHeight="1">
      <c r="A364" s="72"/>
      <c r="B364" s="72"/>
      <c r="C364" s="72"/>
      <c r="D364" s="74"/>
      <c r="E364" s="82"/>
      <c r="F364" s="72"/>
      <c r="G364" s="77"/>
      <c r="H364" s="72"/>
      <c r="I364" s="72"/>
      <c r="J364" s="72"/>
      <c r="K364" s="72"/>
    </row>
    <row r="365" ht="15.75" customHeight="1">
      <c r="A365" s="72"/>
      <c r="B365" s="72"/>
      <c r="C365" s="72"/>
      <c r="D365" s="74"/>
      <c r="E365" s="82"/>
      <c r="F365" s="72"/>
      <c r="G365" s="77"/>
      <c r="H365" s="72"/>
      <c r="I365" s="72"/>
      <c r="J365" s="72"/>
      <c r="K365" s="72"/>
    </row>
    <row r="366" ht="15.75" customHeight="1">
      <c r="A366" s="72"/>
      <c r="B366" s="72"/>
      <c r="C366" s="72"/>
      <c r="D366" s="74"/>
      <c r="E366" s="82"/>
      <c r="F366" s="72"/>
      <c r="G366" s="77"/>
      <c r="H366" s="72"/>
      <c r="I366" s="72"/>
      <c r="J366" s="72"/>
      <c r="K366" s="72"/>
    </row>
    <row r="367" ht="15.75" customHeight="1">
      <c r="A367" s="72"/>
      <c r="B367" s="72"/>
      <c r="C367" s="72"/>
      <c r="D367" s="74"/>
      <c r="E367" s="82"/>
      <c r="F367" s="72"/>
      <c r="G367" s="77"/>
      <c r="H367" s="72"/>
      <c r="I367" s="72"/>
      <c r="J367" s="72"/>
      <c r="K367" s="72"/>
    </row>
    <row r="368" ht="15.75" customHeight="1">
      <c r="A368" s="72"/>
      <c r="B368" s="72"/>
      <c r="C368" s="72"/>
      <c r="D368" s="74"/>
      <c r="E368" s="82"/>
      <c r="F368" s="72"/>
      <c r="G368" s="77"/>
      <c r="H368" s="72"/>
      <c r="I368" s="72"/>
      <c r="J368" s="72"/>
      <c r="K368" s="72"/>
    </row>
    <row r="369" ht="15.75" customHeight="1">
      <c r="A369" s="72"/>
      <c r="B369" s="72"/>
      <c r="C369" s="72"/>
      <c r="D369" s="74"/>
      <c r="E369" s="82"/>
      <c r="F369" s="72"/>
      <c r="G369" s="77"/>
      <c r="H369" s="72"/>
      <c r="I369" s="72"/>
      <c r="J369" s="72"/>
      <c r="K369" s="72"/>
    </row>
    <row r="370" ht="15.75" customHeight="1">
      <c r="A370" s="72"/>
      <c r="B370" s="72"/>
      <c r="C370" s="72"/>
      <c r="D370" s="74"/>
      <c r="E370" s="82"/>
      <c r="F370" s="72"/>
      <c r="G370" s="77"/>
      <c r="H370" s="72"/>
      <c r="I370" s="72"/>
      <c r="J370" s="72"/>
      <c r="K370" s="72"/>
    </row>
    <row r="371" ht="15.75" customHeight="1">
      <c r="A371" s="72"/>
      <c r="B371" s="72"/>
      <c r="C371" s="72"/>
      <c r="D371" s="74"/>
      <c r="E371" s="82"/>
      <c r="F371" s="72"/>
      <c r="G371" s="77"/>
      <c r="H371" s="72"/>
      <c r="I371" s="72"/>
      <c r="J371" s="72"/>
      <c r="K371" s="72"/>
    </row>
    <row r="372" ht="15.75" customHeight="1">
      <c r="A372" s="72"/>
      <c r="B372" s="72"/>
      <c r="C372" s="72"/>
      <c r="D372" s="74"/>
      <c r="E372" s="82"/>
      <c r="F372" s="72"/>
      <c r="G372" s="77"/>
      <c r="H372" s="72"/>
      <c r="I372" s="72"/>
      <c r="J372" s="72"/>
      <c r="K372" s="72"/>
    </row>
    <row r="373" ht="15.75" customHeight="1">
      <c r="A373" s="72"/>
      <c r="B373" s="72"/>
      <c r="C373" s="72"/>
      <c r="D373" s="74"/>
      <c r="E373" s="82"/>
      <c r="F373" s="72"/>
      <c r="G373" s="77"/>
      <c r="H373" s="72"/>
      <c r="I373" s="72"/>
      <c r="J373" s="72"/>
      <c r="K373" s="72"/>
    </row>
    <row r="374" ht="15.75" customHeight="1">
      <c r="A374" s="72"/>
      <c r="B374" s="72"/>
      <c r="C374" s="72"/>
      <c r="D374" s="74"/>
      <c r="E374" s="82"/>
      <c r="F374" s="72"/>
      <c r="G374" s="77"/>
      <c r="H374" s="72"/>
      <c r="I374" s="72"/>
      <c r="J374" s="72"/>
      <c r="K374" s="72"/>
    </row>
    <row r="375" ht="15.75" customHeight="1">
      <c r="A375" s="72"/>
      <c r="B375" s="72"/>
      <c r="C375" s="72"/>
      <c r="D375" s="74"/>
      <c r="E375" s="82"/>
      <c r="F375" s="72"/>
      <c r="G375" s="77"/>
      <c r="H375" s="72"/>
      <c r="I375" s="72"/>
      <c r="J375" s="72"/>
      <c r="K375" s="72"/>
    </row>
    <row r="376" ht="15.75" customHeight="1">
      <c r="A376" s="72"/>
      <c r="B376" s="72"/>
      <c r="C376" s="72"/>
      <c r="D376" s="74"/>
      <c r="E376" s="82"/>
      <c r="F376" s="72"/>
      <c r="G376" s="77"/>
      <c r="H376" s="72"/>
      <c r="I376" s="72"/>
      <c r="J376" s="72"/>
      <c r="K376" s="72"/>
    </row>
    <row r="377" ht="15.75" customHeight="1">
      <c r="A377" s="72"/>
      <c r="B377" s="72"/>
      <c r="C377" s="72"/>
      <c r="D377" s="74"/>
      <c r="E377" s="82"/>
      <c r="F377" s="72"/>
      <c r="G377" s="77"/>
      <c r="H377" s="72"/>
      <c r="I377" s="72"/>
      <c r="J377" s="72"/>
      <c r="K377" s="72"/>
    </row>
    <row r="378" ht="15.75" customHeight="1">
      <c r="A378" s="72"/>
      <c r="B378" s="72"/>
      <c r="C378" s="72"/>
      <c r="D378" s="74"/>
      <c r="E378" s="82"/>
      <c r="F378" s="72"/>
      <c r="G378" s="77"/>
      <c r="H378" s="72"/>
      <c r="I378" s="72"/>
      <c r="J378" s="72"/>
      <c r="K378" s="72"/>
    </row>
    <row r="379" ht="15.75" customHeight="1">
      <c r="A379" s="72"/>
      <c r="B379" s="72"/>
      <c r="C379" s="72"/>
      <c r="D379" s="74"/>
      <c r="E379" s="82"/>
      <c r="F379" s="72"/>
      <c r="G379" s="77"/>
      <c r="H379" s="72"/>
      <c r="I379" s="72"/>
      <c r="J379" s="72"/>
      <c r="K379" s="72"/>
    </row>
    <row r="380" ht="15.75" customHeight="1">
      <c r="A380" s="72"/>
      <c r="B380" s="72"/>
      <c r="C380" s="72"/>
      <c r="D380" s="74"/>
      <c r="E380" s="82"/>
      <c r="F380" s="72"/>
      <c r="G380" s="77"/>
      <c r="H380" s="72"/>
      <c r="I380" s="72"/>
      <c r="J380" s="72"/>
      <c r="K380" s="72"/>
    </row>
    <row r="381" ht="15.75" customHeight="1">
      <c r="A381" s="72"/>
      <c r="B381" s="72"/>
      <c r="C381" s="72"/>
      <c r="D381" s="74"/>
      <c r="E381" s="82"/>
      <c r="F381" s="72"/>
      <c r="G381" s="77"/>
      <c r="H381" s="72"/>
      <c r="I381" s="72"/>
      <c r="J381" s="72"/>
      <c r="K381" s="72"/>
    </row>
    <row r="382" ht="15.75" customHeight="1">
      <c r="A382" s="72"/>
      <c r="B382" s="72"/>
      <c r="C382" s="72"/>
      <c r="D382" s="74"/>
      <c r="E382" s="82"/>
      <c r="F382" s="72"/>
      <c r="G382" s="77"/>
      <c r="H382" s="72"/>
      <c r="I382" s="72"/>
      <c r="J382" s="72"/>
      <c r="K382" s="72"/>
    </row>
    <row r="383" ht="15.75" customHeight="1">
      <c r="A383" s="72"/>
      <c r="B383" s="72"/>
      <c r="C383" s="72"/>
      <c r="D383" s="74"/>
      <c r="E383" s="82"/>
      <c r="F383" s="72"/>
      <c r="G383" s="77"/>
      <c r="H383" s="72"/>
      <c r="I383" s="72"/>
      <c r="J383" s="72"/>
      <c r="K383" s="72"/>
    </row>
    <row r="384" ht="15.75" customHeight="1">
      <c r="A384" s="72"/>
      <c r="B384" s="72"/>
      <c r="C384" s="72"/>
      <c r="D384" s="74"/>
      <c r="E384" s="82"/>
      <c r="F384" s="72"/>
      <c r="G384" s="77"/>
      <c r="H384" s="72"/>
      <c r="I384" s="72"/>
      <c r="J384" s="72"/>
      <c r="K384" s="72"/>
    </row>
    <row r="385" ht="15.75" customHeight="1">
      <c r="A385" s="72"/>
      <c r="B385" s="72"/>
      <c r="C385" s="72"/>
      <c r="D385" s="74"/>
      <c r="E385" s="82"/>
      <c r="F385" s="72"/>
      <c r="G385" s="77"/>
      <c r="H385" s="72"/>
      <c r="I385" s="72"/>
      <c r="J385" s="72"/>
      <c r="K385" s="72"/>
    </row>
    <row r="386" ht="15.75" customHeight="1">
      <c r="A386" s="72"/>
      <c r="B386" s="72"/>
      <c r="C386" s="72"/>
      <c r="D386" s="74"/>
      <c r="E386" s="82"/>
      <c r="F386" s="72"/>
      <c r="G386" s="77"/>
      <c r="H386" s="72"/>
      <c r="I386" s="72"/>
      <c r="J386" s="72"/>
      <c r="K386" s="72"/>
    </row>
    <row r="387" ht="15.75" customHeight="1">
      <c r="A387" s="72"/>
      <c r="B387" s="72"/>
      <c r="C387" s="72"/>
      <c r="D387" s="74"/>
      <c r="E387" s="82"/>
      <c r="F387" s="72"/>
      <c r="G387" s="77"/>
      <c r="H387" s="72"/>
      <c r="I387" s="72"/>
      <c r="J387" s="72"/>
      <c r="K387" s="72"/>
    </row>
    <row r="388" ht="15.75" customHeight="1">
      <c r="A388" s="72"/>
      <c r="B388" s="72"/>
      <c r="C388" s="72"/>
      <c r="D388" s="74"/>
      <c r="E388" s="82"/>
      <c r="F388" s="72"/>
      <c r="G388" s="77"/>
      <c r="H388" s="72"/>
      <c r="I388" s="72"/>
      <c r="J388" s="72"/>
      <c r="K388" s="72"/>
    </row>
    <row r="389" ht="15.75" customHeight="1">
      <c r="A389" s="72"/>
      <c r="B389" s="72"/>
      <c r="C389" s="72"/>
      <c r="D389" s="74"/>
      <c r="E389" s="82"/>
      <c r="F389" s="72"/>
      <c r="G389" s="77"/>
      <c r="H389" s="72"/>
      <c r="I389" s="72"/>
      <c r="J389" s="72"/>
      <c r="K389" s="72"/>
    </row>
    <row r="390" ht="15.75" customHeight="1">
      <c r="A390" s="72"/>
      <c r="B390" s="72"/>
      <c r="C390" s="72"/>
      <c r="D390" s="74"/>
      <c r="E390" s="82"/>
      <c r="F390" s="72"/>
      <c r="G390" s="77"/>
      <c r="H390" s="72"/>
      <c r="I390" s="72"/>
      <c r="J390" s="72"/>
      <c r="K390" s="72"/>
    </row>
    <row r="391" ht="15.75" customHeight="1">
      <c r="A391" s="72"/>
      <c r="B391" s="72"/>
      <c r="C391" s="72"/>
      <c r="D391" s="74"/>
      <c r="E391" s="82"/>
      <c r="F391" s="72"/>
      <c r="G391" s="77"/>
      <c r="H391" s="72"/>
      <c r="I391" s="72"/>
      <c r="J391" s="72"/>
      <c r="K391" s="72"/>
    </row>
    <row r="392" ht="15.75" customHeight="1">
      <c r="A392" s="72"/>
      <c r="B392" s="72"/>
      <c r="C392" s="72"/>
      <c r="D392" s="74"/>
      <c r="E392" s="82"/>
      <c r="F392" s="72"/>
      <c r="G392" s="77"/>
      <c r="H392" s="72"/>
      <c r="I392" s="72"/>
      <c r="J392" s="72"/>
      <c r="K392" s="72"/>
    </row>
    <row r="393" ht="15.75" customHeight="1">
      <c r="A393" s="72"/>
      <c r="B393" s="72"/>
      <c r="C393" s="72"/>
      <c r="D393" s="74"/>
      <c r="E393" s="82"/>
      <c r="F393" s="72"/>
      <c r="G393" s="77"/>
      <c r="H393" s="72"/>
      <c r="I393" s="72"/>
      <c r="J393" s="72"/>
      <c r="K393" s="72"/>
    </row>
    <row r="394" ht="15.75" customHeight="1">
      <c r="A394" s="72"/>
      <c r="B394" s="72"/>
      <c r="C394" s="72"/>
      <c r="D394" s="74"/>
      <c r="E394" s="82"/>
      <c r="F394" s="72"/>
      <c r="G394" s="77"/>
      <c r="H394" s="72"/>
      <c r="I394" s="72"/>
      <c r="J394" s="72"/>
      <c r="K394" s="72"/>
    </row>
    <row r="395" ht="15.75" customHeight="1">
      <c r="A395" s="72"/>
      <c r="B395" s="72"/>
      <c r="C395" s="72"/>
      <c r="D395" s="74"/>
      <c r="E395" s="82"/>
      <c r="F395" s="72"/>
      <c r="G395" s="77"/>
      <c r="H395" s="72"/>
      <c r="I395" s="72"/>
      <c r="J395" s="72"/>
      <c r="K395" s="72"/>
    </row>
    <row r="396" ht="15.75" customHeight="1">
      <c r="A396" s="72"/>
      <c r="B396" s="72"/>
      <c r="C396" s="72"/>
      <c r="D396" s="74"/>
      <c r="E396" s="82"/>
      <c r="F396" s="72"/>
      <c r="G396" s="77"/>
      <c r="H396" s="72"/>
      <c r="I396" s="72"/>
      <c r="J396" s="72"/>
      <c r="K396" s="72"/>
    </row>
    <row r="397" ht="15.75" customHeight="1">
      <c r="A397" s="72"/>
      <c r="B397" s="72"/>
      <c r="C397" s="72"/>
      <c r="D397" s="74"/>
      <c r="E397" s="82"/>
      <c r="F397" s="72"/>
      <c r="G397" s="77"/>
      <c r="H397" s="72"/>
      <c r="I397" s="72"/>
      <c r="J397" s="72"/>
      <c r="K397" s="72"/>
    </row>
    <row r="398" ht="15.75" customHeight="1">
      <c r="A398" s="72"/>
      <c r="B398" s="72"/>
      <c r="C398" s="72"/>
      <c r="D398" s="74"/>
      <c r="E398" s="82"/>
      <c r="F398" s="72"/>
      <c r="G398" s="77"/>
      <c r="H398" s="72"/>
      <c r="I398" s="72"/>
      <c r="J398" s="72"/>
      <c r="K398" s="72"/>
    </row>
    <row r="399" ht="15.75" customHeight="1">
      <c r="A399" s="72"/>
      <c r="B399" s="72"/>
      <c r="C399" s="72"/>
      <c r="D399" s="74"/>
      <c r="E399" s="82"/>
      <c r="F399" s="72"/>
      <c r="G399" s="77"/>
      <c r="H399" s="72"/>
      <c r="I399" s="72"/>
      <c r="J399" s="72"/>
      <c r="K399" s="72"/>
    </row>
    <row r="400" ht="15.75" customHeight="1">
      <c r="A400" s="72"/>
      <c r="B400" s="72"/>
      <c r="C400" s="72"/>
      <c r="D400" s="74"/>
      <c r="E400" s="82"/>
      <c r="F400" s="72"/>
      <c r="G400" s="77"/>
      <c r="H400" s="72"/>
      <c r="I400" s="72"/>
      <c r="J400" s="72"/>
      <c r="K400" s="72"/>
    </row>
    <row r="401" ht="15.75" customHeight="1">
      <c r="A401" s="72"/>
      <c r="B401" s="72"/>
      <c r="C401" s="72"/>
      <c r="D401" s="74"/>
      <c r="E401" s="82"/>
      <c r="F401" s="72"/>
      <c r="G401" s="77"/>
      <c r="H401" s="72"/>
      <c r="I401" s="72"/>
      <c r="J401" s="72"/>
      <c r="K401" s="72"/>
    </row>
    <row r="402" ht="15.75" customHeight="1">
      <c r="A402" s="72"/>
      <c r="B402" s="72"/>
      <c r="C402" s="72"/>
      <c r="D402" s="74"/>
      <c r="E402" s="82"/>
      <c r="F402" s="72"/>
      <c r="G402" s="77"/>
      <c r="H402" s="72"/>
      <c r="I402" s="72"/>
      <c r="J402" s="72"/>
      <c r="K402" s="72"/>
    </row>
    <row r="403" ht="15.75" customHeight="1">
      <c r="A403" s="72"/>
      <c r="B403" s="72"/>
      <c r="C403" s="72"/>
      <c r="D403" s="74"/>
      <c r="E403" s="82"/>
      <c r="F403" s="72"/>
      <c r="G403" s="77"/>
      <c r="H403" s="72"/>
      <c r="I403" s="72"/>
      <c r="J403" s="72"/>
      <c r="K403" s="72"/>
    </row>
    <row r="404" ht="15.75" customHeight="1">
      <c r="A404" s="72"/>
      <c r="B404" s="72"/>
      <c r="C404" s="72"/>
      <c r="D404" s="74"/>
      <c r="E404" s="82"/>
      <c r="F404" s="72"/>
      <c r="G404" s="77"/>
      <c r="H404" s="72"/>
      <c r="I404" s="72"/>
      <c r="J404" s="72"/>
      <c r="K404" s="72"/>
    </row>
    <row r="405" ht="15.75" customHeight="1">
      <c r="A405" s="72"/>
      <c r="B405" s="72"/>
      <c r="C405" s="72"/>
      <c r="D405" s="74"/>
      <c r="E405" s="82"/>
      <c r="F405" s="72"/>
      <c r="G405" s="77"/>
      <c r="H405" s="72"/>
      <c r="I405" s="72"/>
      <c r="J405" s="72"/>
      <c r="K405" s="72"/>
    </row>
    <row r="406" ht="15.75" customHeight="1">
      <c r="A406" s="72"/>
      <c r="B406" s="72"/>
      <c r="C406" s="72"/>
      <c r="D406" s="74"/>
      <c r="E406" s="82"/>
      <c r="F406" s="72"/>
      <c r="G406" s="77"/>
      <c r="H406" s="72"/>
      <c r="I406" s="72"/>
      <c r="J406" s="72"/>
      <c r="K406" s="72"/>
    </row>
    <row r="407" ht="15.75" customHeight="1">
      <c r="A407" s="72"/>
      <c r="B407" s="72"/>
      <c r="C407" s="72"/>
      <c r="D407" s="74"/>
      <c r="E407" s="82"/>
      <c r="F407" s="72"/>
      <c r="G407" s="77"/>
      <c r="H407" s="72"/>
      <c r="I407" s="72"/>
      <c r="J407" s="72"/>
      <c r="K407" s="72"/>
    </row>
    <row r="408" ht="15.75" customHeight="1">
      <c r="A408" s="72"/>
      <c r="B408" s="72"/>
      <c r="C408" s="72"/>
      <c r="D408" s="74"/>
      <c r="E408" s="82"/>
      <c r="F408" s="72"/>
      <c r="G408" s="77"/>
      <c r="H408" s="72"/>
      <c r="I408" s="72"/>
      <c r="J408" s="72"/>
      <c r="K408" s="72"/>
    </row>
    <row r="409" ht="15.75" customHeight="1">
      <c r="A409" s="72"/>
      <c r="B409" s="72"/>
      <c r="C409" s="72"/>
      <c r="D409" s="74"/>
      <c r="E409" s="82"/>
      <c r="F409" s="72"/>
      <c r="G409" s="77"/>
      <c r="H409" s="72"/>
      <c r="I409" s="72"/>
      <c r="J409" s="72"/>
      <c r="K409" s="72"/>
    </row>
    <row r="410" ht="15.75" customHeight="1">
      <c r="A410" s="72"/>
      <c r="B410" s="72"/>
      <c r="C410" s="72"/>
      <c r="D410" s="74"/>
      <c r="E410" s="82"/>
      <c r="F410" s="72"/>
      <c r="G410" s="77"/>
      <c r="H410" s="72"/>
      <c r="I410" s="72"/>
      <c r="J410" s="72"/>
      <c r="K410" s="72"/>
    </row>
    <row r="411" ht="15.75" customHeight="1">
      <c r="A411" s="72"/>
      <c r="B411" s="72"/>
      <c r="C411" s="72"/>
      <c r="D411" s="74"/>
      <c r="E411" s="82"/>
      <c r="F411" s="72"/>
      <c r="G411" s="77"/>
      <c r="H411" s="72"/>
      <c r="I411" s="72"/>
      <c r="J411" s="72"/>
      <c r="K411" s="72"/>
    </row>
    <row r="412" ht="15.75" customHeight="1">
      <c r="A412" s="72"/>
      <c r="B412" s="72"/>
      <c r="C412" s="72"/>
      <c r="D412" s="74"/>
      <c r="E412" s="82"/>
      <c r="F412" s="72"/>
      <c r="G412" s="77"/>
      <c r="H412" s="72"/>
      <c r="I412" s="72"/>
      <c r="J412" s="72"/>
      <c r="K412" s="72"/>
    </row>
    <row r="413" ht="15.75" customHeight="1">
      <c r="A413" s="72"/>
      <c r="B413" s="72"/>
      <c r="C413" s="72"/>
      <c r="D413" s="74"/>
      <c r="E413" s="82"/>
      <c r="F413" s="72"/>
      <c r="G413" s="77"/>
      <c r="H413" s="72"/>
      <c r="I413" s="72"/>
      <c r="J413" s="72"/>
      <c r="K413" s="72"/>
    </row>
    <row r="414" ht="15.75" customHeight="1">
      <c r="A414" s="72"/>
      <c r="B414" s="72"/>
      <c r="C414" s="72"/>
      <c r="D414" s="74"/>
      <c r="E414" s="82"/>
      <c r="F414" s="72"/>
      <c r="G414" s="77"/>
      <c r="H414" s="72"/>
      <c r="I414" s="72"/>
      <c r="J414" s="72"/>
      <c r="K414" s="72"/>
    </row>
    <row r="415" ht="15.75" customHeight="1">
      <c r="A415" s="72"/>
      <c r="B415" s="72"/>
      <c r="C415" s="72"/>
      <c r="D415" s="74"/>
      <c r="E415" s="82"/>
      <c r="F415" s="72"/>
      <c r="G415" s="77"/>
      <c r="H415" s="72"/>
      <c r="I415" s="72"/>
      <c r="J415" s="72"/>
      <c r="K415" s="72"/>
    </row>
    <row r="416" ht="15.75" customHeight="1">
      <c r="A416" s="72"/>
      <c r="B416" s="72"/>
      <c r="C416" s="72"/>
      <c r="D416" s="74"/>
      <c r="E416" s="82"/>
      <c r="F416" s="72"/>
      <c r="G416" s="77"/>
      <c r="H416" s="72"/>
      <c r="I416" s="72"/>
      <c r="J416" s="72"/>
      <c r="K416" s="72"/>
    </row>
    <row r="417" ht="15.75" customHeight="1">
      <c r="A417" s="72"/>
      <c r="B417" s="72"/>
      <c r="C417" s="72"/>
      <c r="D417" s="74"/>
      <c r="E417" s="82"/>
      <c r="F417" s="72"/>
      <c r="G417" s="77"/>
      <c r="H417" s="72"/>
      <c r="I417" s="72"/>
      <c r="J417" s="72"/>
      <c r="K417" s="72"/>
    </row>
    <row r="418" ht="15.75" customHeight="1">
      <c r="A418" s="72"/>
      <c r="B418" s="72"/>
      <c r="C418" s="72"/>
      <c r="D418" s="74"/>
      <c r="E418" s="82"/>
      <c r="F418" s="72"/>
      <c r="G418" s="77"/>
      <c r="H418" s="72"/>
      <c r="I418" s="72"/>
      <c r="J418" s="72"/>
      <c r="K418" s="72"/>
    </row>
    <row r="419" ht="15.75" customHeight="1">
      <c r="A419" s="72"/>
      <c r="B419" s="72"/>
      <c r="C419" s="72"/>
      <c r="D419" s="74"/>
      <c r="E419" s="82"/>
      <c r="F419" s="72"/>
      <c r="G419" s="77"/>
      <c r="H419" s="72"/>
      <c r="I419" s="72"/>
      <c r="J419" s="72"/>
      <c r="K419" s="72"/>
    </row>
    <row r="420" ht="15.75" customHeight="1">
      <c r="A420" s="72"/>
      <c r="B420" s="72"/>
      <c r="C420" s="72"/>
      <c r="D420" s="74"/>
      <c r="E420" s="82"/>
      <c r="F420" s="72"/>
      <c r="G420" s="77"/>
      <c r="H420" s="72"/>
      <c r="I420" s="72"/>
      <c r="J420" s="72"/>
      <c r="K420" s="72"/>
    </row>
    <row r="421" ht="15.75" customHeight="1">
      <c r="A421" s="72"/>
      <c r="B421" s="72"/>
      <c r="C421" s="72"/>
      <c r="D421" s="74"/>
      <c r="E421" s="82"/>
      <c r="F421" s="72"/>
      <c r="G421" s="77"/>
      <c r="H421" s="72"/>
      <c r="I421" s="72"/>
      <c r="J421" s="72"/>
      <c r="K421" s="72"/>
    </row>
    <row r="422" ht="15.75" customHeight="1">
      <c r="A422" s="83"/>
      <c r="B422" s="83"/>
      <c r="C422" s="83"/>
      <c r="D422" s="84"/>
      <c r="E422" s="85"/>
      <c r="F422" s="83"/>
      <c r="G422" s="86"/>
      <c r="H422" s="83"/>
      <c r="I422" s="83"/>
      <c r="J422" s="83"/>
      <c r="K422" s="83"/>
    </row>
    <row r="423" ht="15.75" customHeight="1">
      <c r="A423" s="87"/>
      <c r="B423" s="87"/>
      <c r="C423" s="87"/>
      <c r="D423" s="88"/>
      <c r="E423" s="89"/>
      <c r="F423" s="87"/>
      <c r="G423" s="90"/>
      <c r="H423" s="87"/>
      <c r="I423" s="87"/>
      <c r="J423" s="87"/>
      <c r="K423" s="87"/>
    </row>
    <row r="424" ht="15.75" customHeight="1">
      <c r="A424" s="83"/>
      <c r="B424" s="83"/>
      <c r="C424" s="83"/>
      <c r="D424" s="84"/>
      <c r="E424" s="85"/>
      <c r="F424" s="83"/>
      <c r="G424" s="86"/>
      <c r="H424" s="83"/>
      <c r="I424" s="83"/>
      <c r="J424" s="83"/>
      <c r="K424" s="83"/>
    </row>
    <row r="425" ht="15.75" customHeight="1">
      <c r="A425" s="87"/>
      <c r="B425" s="87"/>
      <c r="C425" s="87"/>
      <c r="D425" s="88"/>
      <c r="E425" s="89"/>
      <c r="F425" s="87"/>
      <c r="G425" s="90"/>
      <c r="H425" s="87"/>
      <c r="I425" s="87"/>
      <c r="J425" s="87"/>
      <c r="K425" s="87"/>
    </row>
    <row r="426" ht="15.75" customHeight="1">
      <c r="A426" s="83"/>
      <c r="B426" s="83"/>
      <c r="C426" s="83"/>
      <c r="D426" s="84"/>
      <c r="E426" s="85"/>
      <c r="F426" s="83"/>
      <c r="G426" s="86"/>
      <c r="H426" s="83"/>
      <c r="I426" s="83"/>
      <c r="J426" s="83"/>
      <c r="K426" s="83"/>
    </row>
    <row r="427" ht="15.75" customHeight="1">
      <c r="A427" s="87"/>
      <c r="B427" s="87"/>
      <c r="C427" s="87"/>
      <c r="D427" s="88"/>
      <c r="E427" s="89"/>
      <c r="F427" s="87"/>
      <c r="G427" s="90"/>
      <c r="H427" s="87"/>
      <c r="I427" s="87"/>
      <c r="J427" s="87"/>
      <c r="K427" s="87"/>
    </row>
    <row r="428" ht="15.75" customHeight="1">
      <c r="A428" s="83"/>
      <c r="B428" s="83"/>
      <c r="C428" s="83"/>
      <c r="D428" s="84"/>
      <c r="E428" s="85"/>
      <c r="F428" s="83"/>
      <c r="G428" s="86"/>
      <c r="H428" s="83"/>
      <c r="I428" s="83"/>
      <c r="J428" s="83"/>
      <c r="K428" s="83"/>
    </row>
    <row r="429" ht="15.75" customHeight="1">
      <c r="A429" s="87"/>
      <c r="B429" s="87"/>
      <c r="C429" s="87"/>
      <c r="D429" s="88"/>
      <c r="E429" s="89"/>
      <c r="F429" s="87"/>
      <c r="G429" s="90"/>
      <c r="H429" s="87"/>
      <c r="I429" s="87"/>
      <c r="J429" s="87"/>
      <c r="K429" s="87"/>
    </row>
    <row r="430" ht="15.75" customHeight="1">
      <c r="A430" s="83"/>
      <c r="B430" s="83"/>
      <c r="C430" s="83"/>
      <c r="D430" s="84"/>
      <c r="E430" s="85"/>
      <c r="F430" s="83"/>
      <c r="G430" s="86"/>
      <c r="H430" s="83"/>
      <c r="I430" s="83"/>
      <c r="J430" s="83"/>
      <c r="K430" s="83"/>
    </row>
    <row r="431" ht="15.75" customHeight="1">
      <c r="A431" s="87"/>
      <c r="B431" s="87"/>
      <c r="C431" s="87"/>
      <c r="D431" s="88"/>
      <c r="E431" s="89"/>
      <c r="F431" s="87"/>
      <c r="G431" s="90"/>
      <c r="H431" s="87"/>
      <c r="I431" s="87"/>
      <c r="J431" s="87"/>
      <c r="K431" s="87"/>
    </row>
    <row r="432" ht="15.75" customHeight="1">
      <c r="A432" s="83"/>
      <c r="B432" s="83"/>
      <c r="C432" s="83"/>
      <c r="D432" s="84"/>
      <c r="E432" s="85"/>
      <c r="F432" s="83"/>
      <c r="G432" s="86"/>
      <c r="H432" s="83"/>
      <c r="I432" s="83"/>
      <c r="J432" s="83"/>
      <c r="K432" s="83"/>
    </row>
    <row r="433" ht="15.75" customHeight="1">
      <c r="A433" s="87"/>
      <c r="B433" s="87"/>
      <c r="C433" s="87"/>
      <c r="D433" s="88"/>
      <c r="E433" s="89"/>
      <c r="F433" s="87"/>
      <c r="G433" s="90"/>
      <c r="H433" s="87"/>
      <c r="I433" s="87"/>
      <c r="J433" s="87"/>
      <c r="K433" s="87"/>
    </row>
    <row r="434" ht="15.75" customHeight="1">
      <c r="A434" s="83"/>
      <c r="B434" s="83"/>
      <c r="C434" s="83"/>
      <c r="D434" s="84"/>
      <c r="E434" s="85"/>
      <c r="F434" s="83"/>
      <c r="G434" s="86"/>
      <c r="H434" s="83"/>
      <c r="I434" s="83"/>
      <c r="J434" s="83"/>
      <c r="K434" s="83"/>
    </row>
    <row r="435" ht="15.75" customHeight="1">
      <c r="A435" s="87"/>
      <c r="B435" s="87"/>
      <c r="C435" s="87"/>
      <c r="D435" s="88"/>
      <c r="E435" s="89"/>
      <c r="F435" s="87"/>
      <c r="G435" s="90"/>
      <c r="H435" s="87"/>
      <c r="I435" s="87"/>
      <c r="J435" s="87"/>
      <c r="K435" s="87"/>
    </row>
    <row r="436" ht="15.75" customHeight="1">
      <c r="A436" s="83"/>
      <c r="B436" s="83"/>
      <c r="C436" s="83"/>
      <c r="D436" s="84"/>
      <c r="E436" s="85"/>
      <c r="F436" s="83"/>
      <c r="G436" s="86"/>
      <c r="H436" s="83"/>
      <c r="I436" s="83"/>
      <c r="J436" s="83"/>
      <c r="K436" s="83"/>
    </row>
    <row r="437" ht="15.75" customHeight="1">
      <c r="A437" s="87"/>
      <c r="B437" s="87"/>
      <c r="C437" s="87"/>
      <c r="D437" s="88"/>
      <c r="E437" s="89"/>
      <c r="F437" s="87"/>
      <c r="G437" s="90"/>
      <c r="H437" s="87"/>
      <c r="I437" s="87"/>
      <c r="J437" s="87"/>
      <c r="K437" s="87"/>
    </row>
    <row r="438" ht="15.75" customHeight="1">
      <c r="A438" s="83"/>
      <c r="B438" s="83"/>
      <c r="C438" s="83"/>
      <c r="D438" s="84"/>
      <c r="E438" s="85"/>
      <c r="F438" s="83"/>
      <c r="G438" s="86"/>
      <c r="H438" s="83"/>
      <c r="I438" s="83"/>
      <c r="J438" s="83"/>
      <c r="K438" s="83"/>
    </row>
    <row r="439" ht="15.75" customHeight="1">
      <c r="A439" s="87"/>
      <c r="B439" s="87"/>
      <c r="C439" s="87"/>
      <c r="D439" s="88"/>
      <c r="E439" s="89"/>
      <c r="F439" s="87"/>
      <c r="G439" s="90"/>
      <c r="H439" s="87"/>
      <c r="I439" s="87"/>
      <c r="J439" s="87"/>
      <c r="K439" s="87"/>
    </row>
    <row r="440" ht="15.75" customHeight="1">
      <c r="A440" s="83"/>
      <c r="B440" s="83"/>
      <c r="C440" s="83"/>
      <c r="D440" s="84"/>
      <c r="E440" s="85"/>
      <c r="F440" s="83"/>
      <c r="G440" s="86"/>
      <c r="H440" s="83"/>
      <c r="I440" s="83"/>
      <c r="J440" s="83"/>
      <c r="K440" s="83"/>
    </row>
    <row r="441" ht="15.75" customHeight="1">
      <c r="A441" s="87"/>
      <c r="B441" s="87"/>
      <c r="C441" s="87"/>
      <c r="D441" s="88"/>
      <c r="E441" s="89"/>
      <c r="F441" s="87"/>
      <c r="G441" s="90"/>
      <c r="H441" s="87"/>
      <c r="I441" s="87"/>
      <c r="J441" s="87"/>
      <c r="K441" s="87"/>
    </row>
    <row r="442" ht="15.75" customHeight="1">
      <c r="A442" s="83"/>
      <c r="B442" s="83"/>
      <c r="C442" s="83"/>
      <c r="D442" s="84"/>
      <c r="E442" s="85"/>
      <c r="F442" s="83"/>
      <c r="G442" s="86"/>
      <c r="H442" s="83"/>
      <c r="I442" s="83"/>
      <c r="J442" s="83"/>
      <c r="K442" s="83"/>
    </row>
    <row r="443" ht="15.75" customHeight="1">
      <c r="A443" s="87"/>
      <c r="B443" s="87"/>
      <c r="C443" s="87"/>
      <c r="D443" s="88"/>
      <c r="E443" s="89"/>
      <c r="F443" s="87"/>
      <c r="G443" s="90"/>
      <c r="H443" s="87"/>
      <c r="I443" s="87"/>
      <c r="J443" s="87"/>
      <c r="K443" s="87"/>
    </row>
    <row r="444" ht="15.75" customHeight="1">
      <c r="A444" s="83"/>
      <c r="B444" s="83"/>
      <c r="C444" s="83"/>
      <c r="D444" s="84"/>
      <c r="E444" s="85"/>
      <c r="F444" s="83"/>
      <c r="G444" s="86"/>
      <c r="H444" s="83"/>
      <c r="I444" s="83"/>
      <c r="J444" s="83"/>
      <c r="K444" s="83"/>
    </row>
    <row r="445" ht="15.75" customHeight="1">
      <c r="A445" s="87"/>
      <c r="B445" s="87"/>
      <c r="C445" s="87"/>
      <c r="D445" s="88"/>
      <c r="E445" s="89"/>
      <c r="F445" s="87"/>
      <c r="G445" s="90"/>
      <c r="H445" s="87"/>
      <c r="I445" s="87"/>
      <c r="J445" s="87"/>
      <c r="K445" s="87"/>
    </row>
    <row r="446" ht="15.75" customHeight="1">
      <c r="A446" s="83"/>
      <c r="B446" s="83"/>
      <c r="C446" s="83"/>
      <c r="D446" s="84"/>
      <c r="E446" s="85"/>
      <c r="F446" s="83"/>
      <c r="G446" s="86"/>
      <c r="H446" s="83"/>
      <c r="I446" s="83"/>
      <c r="J446" s="83"/>
      <c r="K446" s="83"/>
    </row>
    <row r="447" ht="15.75" customHeight="1">
      <c r="A447" s="87"/>
      <c r="B447" s="87"/>
      <c r="C447" s="87"/>
      <c r="D447" s="88"/>
      <c r="E447" s="89"/>
      <c r="F447" s="87"/>
      <c r="G447" s="90"/>
      <c r="H447" s="87"/>
      <c r="I447" s="87"/>
      <c r="J447" s="87"/>
      <c r="K447" s="87"/>
    </row>
    <row r="448" ht="15.75" customHeight="1">
      <c r="A448" s="83"/>
      <c r="B448" s="83"/>
      <c r="C448" s="83"/>
      <c r="D448" s="84"/>
      <c r="E448" s="85"/>
      <c r="F448" s="83"/>
      <c r="G448" s="86"/>
      <c r="H448" s="83"/>
      <c r="I448" s="83"/>
      <c r="J448" s="83"/>
      <c r="K448" s="83"/>
    </row>
    <row r="449" ht="15.75" customHeight="1">
      <c r="A449" s="87"/>
      <c r="B449" s="87"/>
      <c r="C449" s="87"/>
      <c r="D449" s="88"/>
      <c r="E449" s="89"/>
      <c r="F449" s="87"/>
      <c r="G449" s="90"/>
      <c r="H449" s="87"/>
      <c r="I449" s="87"/>
      <c r="J449" s="87"/>
      <c r="K449" s="87"/>
    </row>
    <row r="450" ht="15.75" customHeight="1">
      <c r="A450" s="83"/>
      <c r="B450" s="83"/>
      <c r="C450" s="83"/>
      <c r="D450" s="84"/>
      <c r="E450" s="85"/>
      <c r="F450" s="83"/>
      <c r="G450" s="86"/>
      <c r="H450" s="83"/>
      <c r="I450" s="83"/>
      <c r="J450" s="83"/>
      <c r="K450" s="83"/>
    </row>
    <row r="451" ht="15.75" customHeight="1">
      <c r="A451" s="87"/>
      <c r="B451" s="87"/>
      <c r="C451" s="87"/>
      <c r="D451" s="88"/>
      <c r="E451" s="89"/>
      <c r="F451" s="87"/>
      <c r="G451" s="90"/>
      <c r="H451" s="87"/>
      <c r="I451" s="87"/>
      <c r="J451" s="87"/>
      <c r="K451" s="87"/>
    </row>
    <row r="452" ht="15.75" customHeight="1">
      <c r="A452" s="83"/>
      <c r="B452" s="83"/>
      <c r="C452" s="83"/>
      <c r="D452" s="84"/>
      <c r="E452" s="85"/>
      <c r="F452" s="83"/>
      <c r="G452" s="86"/>
      <c r="H452" s="83"/>
      <c r="I452" s="83"/>
      <c r="J452" s="83"/>
      <c r="K452" s="83"/>
    </row>
    <row r="453" ht="15.75" customHeight="1">
      <c r="A453" s="87"/>
      <c r="B453" s="87"/>
      <c r="C453" s="87"/>
      <c r="D453" s="88"/>
      <c r="E453" s="89"/>
      <c r="F453" s="87"/>
      <c r="G453" s="90"/>
      <c r="H453" s="87"/>
      <c r="I453" s="87"/>
      <c r="J453" s="87"/>
      <c r="K453" s="87"/>
    </row>
    <row r="454" ht="15.75" customHeight="1">
      <c r="A454" s="83"/>
      <c r="B454" s="83"/>
      <c r="C454" s="83"/>
      <c r="D454" s="84"/>
      <c r="E454" s="85"/>
      <c r="F454" s="83"/>
      <c r="G454" s="86"/>
      <c r="H454" s="83"/>
      <c r="I454" s="83"/>
      <c r="J454" s="83"/>
      <c r="K454" s="83"/>
    </row>
    <row r="455" ht="15.75" customHeight="1">
      <c r="A455" s="87"/>
      <c r="B455" s="87"/>
      <c r="C455" s="87"/>
      <c r="D455" s="88"/>
      <c r="E455" s="89"/>
      <c r="F455" s="87"/>
      <c r="G455" s="90"/>
      <c r="H455" s="87"/>
      <c r="I455" s="87"/>
      <c r="J455" s="87"/>
      <c r="K455" s="87"/>
    </row>
    <row r="456" ht="15.75" customHeight="1">
      <c r="A456" s="83"/>
      <c r="B456" s="83"/>
      <c r="C456" s="83"/>
      <c r="D456" s="84"/>
      <c r="E456" s="85"/>
      <c r="F456" s="83"/>
      <c r="G456" s="86"/>
      <c r="H456" s="83"/>
      <c r="I456" s="83"/>
      <c r="J456" s="83"/>
      <c r="K456" s="83"/>
    </row>
    <row r="457" ht="15.75" customHeight="1">
      <c r="A457" s="87"/>
      <c r="B457" s="87"/>
      <c r="C457" s="87"/>
      <c r="D457" s="88"/>
      <c r="E457" s="89"/>
      <c r="F457" s="87"/>
      <c r="G457" s="90"/>
      <c r="H457" s="87"/>
      <c r="I457" s="87"/>
      <c r="J457" s="87"/>
      <c r="K457" s="87"/>
    </row>
    <row r="458" ht="15.75" customHeight="1">
      <c r="A458" s="83"/>
      <c r="B458" s="83"/>
      <c r="C458" s="83"/>
      <c r="D458" s="84"/>
      <c r="E458" s="85"/>
      <c r="F458" s="83"/>
      <c r="G458" s="86"/>
      <c r="H458" s="83"/>
      <c r="I458" s="83"/>
      <c r="J458" s="83"/>
      <c r="K458" s="83"/>
    </row>
    <row r="459" ht="15.75" customHeight="1">
      <c r="A459" s="87"/>
      <c r="B459" s="87"/>
      <c r="C459" s="87"/>
      <c r="D459" s="88"/>
      <c r="E459" s="89"/>
      <c r="F459" s="87"/>
      <c r="G459" s="90"/>
      <c r="H459" s="87"/>
      <c r="I459" s="87"/>
      <c r="J459" s="87"/>
      <c r="K459" s="87"/>
    </row>
    <row r="460" ht="15.75" customHeight="1">
      <c r="A460" s="83"/>
      <c r="B460" s="83"/>
      <c r="C460" s="83"/>
      <c r="D460" s="84"/>
      <c r="E460" s="85"/>
      <c r="F460" s="83"/>
      <c r="G460" s="86"/>
      <c r="H460" s="83"/>
      <c r="I460" s="83"/>
      <c r="J460" s="83"/>
      <c r="K460" s="83"/>
    </row>
    <row r="461" ht="15.75" customHeight="1">
      <c r="A461" s="87"/>
      <c r="B461" s="87"/>
      <c r="C461" s="87"/>
      <c r="D461" s="88"/>
      <c r="E461" s="89"/>
      <c r="F461" s="87"/>
      <c r="G461" s="90"/>
      <c r="H461" s="87"/>
      <c r="I461" s="87"/>
      <c r="J461" s="87"/>
      <c r="K461" s="87"/>
    </row>
    <row r="462" ht="15.75" customHeight="1">
      <c r="A462" s="83"/>
      <c r="B462" s="83"/>
      <c r="C462" s="83"/>
      <c r="D462" s="84"/>
      <c r="E462" s="85"/>
      <c r="F462" s="83"/>
      <c r="G462" s="86"/>
      <c r="H462" s="83"/>
      <c r="I462" s="83"/>
      <c r="J462" s="83"/>
      <c r="K462" s="83"/>
    </row>
    <row r="463" ht="15.75" customHeight="1">
      <c r="A463" s="87"/>
      <c r="B463" s="87"/>
      <c r="C463" s="87"/>
      <c r="D463" s="88"/>
      <c r="E463" s="89"/>
      <c r="F463" s="87"/>
      <c r="G463" s="90"/>
      <c r="H463" s="87"/>
      <c r="I463" s="87"/>
      <c r="J463" s="87"/>
      <c r="K463" s="87"/>
    </row>
    <row r="464" ht="15.75" customHeight="1">
      <c r="A464" s="83"/>
      <c r="B464" s="83"/>
      <c r="C464" s="83"/>
      <c r="D464" s="84"/>
      <c r="E464" s="85"/>
      <c r="F464" s="83"/>
      <c r="G464" s="86"/>
      <c r="H464" s="83"/>
      <c r="I464" s="83"/>
      <c r="J464" s="83"/>
      <c r="K464" s="83"/>
    </row>
    <row r="465" ht="15.75" customHeight="1">
      <c r="A465" s="87"/>
      <c r="B465" s="87"/>
      <c r="C465" s="87"/>
      <c r="D465" s="88"/>
      <c r="E465" s="89"/>
      <c r="F465" s="87"/>
      <c r="G465" s="90"/>
      <c r="H465" s="87"/>
      <c r="I465" s="87"/>
      <c r="J465" s="87"/>
      <c r="K465" s="87"/>
    </row>
    <row r="466" ht="15.75" customHeight="1">
      <c r="A466" s="83"/>
      <c r="B466" s="83"/>
      <c r="C466" s="83"/>
      <c r="D466" s="84"/>
      <c r="E466" s="85"/>
      <c r="F466" s="83"/>
      <c r="G466" s="86"/>
      <c r="H466" s="83"/>
      <c r="I466" s="83"/>
      <c r="J466" s="83"/>
      <c r="K466" s="83"/>
    </row>
    <row r="467" ht="15.75" customHeight="1">
      <c r="A467" s="87"/>
      <c r="B467" s="87"/>
      <c r="C467" s="87"/>
      <c r="D467" s="88"/>
      <c r="E467" s="89"/>
      <c r="F467" s="87"/>
      <c r="G467" s="90"/>
      <c r="H467" s="87"/>
      <c r="I467" s="87"/>
      <c r="J467" s="87"/>
      <c r="K467" s="87"/>
    </row>
    <row r="468" ht="15.75" customHeight="1">
      <c r="A468" s="83"/>
      <c r="B468" s="83"/>
      <c r="C468" s="83"/>
      <c r="D468" s="84"/>
      <c r="E468" s="85"/>
      <c r="F468" s="83"/>
      <c r="G468" s="86"/>
      <c r="H468" s="83"/>
      <c r="I468" s="83"/>
      <c r="J468" s="83"/>
      <c r="K468" s="83"/>
    </row>
    <row r="469" ht="15.75" customHeight="1">
      <c r="A469" s="87"/>
      <c r="B469" s="87"/>
      <c r="C469" s="87"/>
      <c r="D469" s="88"/>
      <c r="E469" s="89"/>
      <c r="F469" s="87"/>
      <c r="G469" s="90"/>
      <c r="H469" s="87"/>
      <c r="I469" s="87"/>
      <c r="J469" s="87"/>
      <c r="K469" s="87"/>
    </row>
    <row r="470" ht="15.75" customHeight="1">
      <c r="A470" s="83"/>
      <c r="B470" s="83"/>
      <c r="C470" s="83"/>
      <c r="D470" s="84"/>
      <c r="E470" s="85"/>
      <c r="F470" s="83"/>
      <c r="G470" s="86"/>
      <c r="H470" s="83"/>
      <c r="I470" s="83"/>
      <c r="J470" s="83"/>
      <c r="K470" s="83"/>
    </row>
    <row r="471" ht="15.75" customHeight="1">
      <c r="A471" s="87"/>
      <c r="B471" s="87"/>
      <c r="C471" s="87"/>
      <c r="D471" s="88"/>
      <c r="E471" s="89"/>
      <c r="F471" s="87"/>
      <c r="G471" s="90"/>
      <c r="H471" s="87"/>
      <c r="I471" s="87"/>
      <c r="J471" s="87"/>
      <c r="K471" s="87"/>
    </row>
    <row r="472" ht="15.75" customHeight="1">
      <c r="A472" s="83"/>
      <c r="B472" s="83"/>
      <c r="C472" s="83"/>
      <c r="D472" s="84"/>
      <c r="E472" s="85"/>
      <c r="F472" s="83"/>
      <c r="G472" s="86"/>
      <c r="H472" s="83"/>
      <c r="I472" s="83"/>
      <c r="J472" s="83"/>
      <c r="K472" s="83"/>
    </row>
    <row r="473" ht="15.75" customHeight="1">
      <c r="A473" s="87"/>
      <c r="B473" s="87"/>
      <c r="C473" s="87"/>
      <c r="D473" s="88"/>
      <c r="E473" s="89"/>
      <c r="F473" s="87"/>
      <c r="G473" s="90"/>
      <c r="H473" s="87"/>
      <c r="I473" s="87"/>
      <c r="J473" s="87"/>
      <c r="K473" s="87"/>
    </row>
    <row r="474" ht="15.75" customHeight="1">
      <c r="A474" s="83"/>
      <c r="B474" s="83"/>
      <c r="C474" s="83"/>
      <c r="D474" s="84"/>
      <c r="E474" s="85"/>
      <c r="F474" s="83"/>
      <c r="G474" s="86"/>
      <c r="H474" s="83"/>
      <c r="I474" s="83"/>
      <c r="J474" s="83"/>
      <c r="K474" s="83"/>
    </row>
    <row r="475" ht="15.75" customHeight="1">
      <c r="A475" s="87"/>
      <c r="B475" s="87"/>
      <c r="C475" s="87"/>
      <c r="D475" s="88"/>
      <c r="E475" s="89"/>
      <c r="F475" s="87"/>
      <c r="G475" s="90"/>
      <c r="H475" s="87"/>
      <c r="I475" s="87"/>
      <c r="J475" s="87"/>
      <c r="K475" s="87"/>
    </row>
    <row r="476" ht="15.75" customHeight="1">
      <c r="A476" s="83"/>
      <c r="B476" s="83"/>
      <c r="C476" s="83"/>
      <c r="D476" s="84"/>
      <c r="E476" s="85"/>
      <c r="F476" s="83"/>
      <c r="G476" s="86"/>
      <c r="H476" s="83"/>
      <c r="I476" s="83"/>
      <c r="J476" s="83"/>
      <c r="K476" s="83"/>
    </row>
    <row r="477" ht="15.75" customHeight="1">
      <c r="A477" s="87"/>
      <c r="B477" s="87"/>
      <c r="C477" s="87"/>
      <c r="D477" s="88"/>
      <c r="E477" s="89"/>
      <c r="F477" s="87"/>
      <c r="G477" s="90"/>
      <c r="H477" s="87"/>
      <c r="I477" s="87"/>
      <c r="J477" s="87"/>
      <c r="K477" s="87"/>
    </row>
    <row r="478" ht="15.75" customHeight="1">
      <c r="A478" s="83"/>
      <c r="B478" s="83"/>
      <c r="C478" s="83"/>
      <c r="D478" s="84"/>
      <c r="E478" s="85"/>
      <c r="F478" s="83"/>
      <c r="G478" s="86"/>
      <c r="H478" s="83"/>
      <c r="I478" s="83"/>
      <c r="J478" s="83"/>
      <c r="K478" s="83"/>
    </row>
    <row r="479" ht="15.75" customHeight="1">
      <c r="A479" s="87"/>
      <c r="B479" s="87"/>
      <c r="C479" s="87"/>
      <c r="D479" s="88"/>
      <c r="E479" s="89"/>
      <c r="F479" s="87"/>
      <c r="G479" s="90"/>
      <c r="H479" s="87"/>
      <c r="I479" s="87"/>
      <c r="J479" s="87"/>
      <c r="K479" s="87"/>
    </row>
    <row r="480" ht="15.75" customHeight="1">
      <c r="A480" s="83"/>
      <c r="B480" s="83"/>
      <c r="C480" s="83"/>
      <c r="D480" s="84"/>
      <c r="E480" s="85"/>
      <c r="F480" s="83"/>
      <c r="G480" s="86"/>
      <c r="H480" s="83"/>
      <c r="I480" s="83"/>
      <c r="J480" s="83"/>
      <c r="K480" s="83"/>
    </row>
    <row r="481" ht="15.75" customHeight="1">
      <c r="A481" s="87"/>
      <c r="B481" s="87"/>
      <c r="C481" s="87"/>
      <c r="D481" s="88"/>
      <c r="E481" s="89"/>
      <c r="F481" s="87"/>
      <c r="G481" s="90"/>
      <c r="H481" s="87"/>
      <c r="I481" s="87"/>
      <c r="J481" s="87"/>
      <c r="K481" s="87"/>
    </row>
    <row r="482" ht="15.75" customHeight="1">
      <c r="A482" s="83"/>
      <c r="B482" s="83"/>
      <c r="C482" s="83"/>
      <c r="D482" s="84"/>
      <c r="E482" s="85"/>
      <c r="F482" s="83"/>
      <c r="G482" s="86"/>
      <c r="H482" s="83"/>
      <c r="I482" s="83"/>
      <c r="J482" s="83"/>
      <c r="K482" s="83"/>
    </row>
    <row r="483" ht="15.75" customHeight="1">
      <c r="A483" s="87"/>
      <c r="B483" s="87"/>
      <c r="C483" s="87"/>
      <c r="D483" s="88"/>
      <c r="E483" s="89"/>
      <c r="F483" s="87"/>
      <c r="G483" s="90"/>
      <c r="H483" s="87"/>
      <c r="I483" s="87"/>
      <c r="J483" s="87"/>
      <c r="K483" s="87"/>
    </row>
    <row r="484" ht="15.75" customHeight="1">
      <c r="A484" s="83"/>
      <c r="B484" s="83"/>
      <c r="C484" s="83"/>
      <c r="D484" s="84"/>
      <c r="E484" s="85"/>
      <c r="F484" s="83"/>
      <c r="G484" s="86"/>
      <c r="H484" s="83"/>
      <c r="I484" s="83"/>
      <c r="J484" s="83"/>
      <c r="K484" s="83"/>
    </row>
    <row r="485" ht="15.75" customHeight="1">
      <c r="A485" s="87"/>
      <c r="B485" s="87"/>
      <c r="C485" s="87"/>
      <c r="D485" s="88"/>
      <c r="E485" s="89"/>
      <c r="F485" s="87"/>
      <c r="G485" s="90"/>
      <c r="H485" s="87"/>
      <c r="I485" s="87"/>
      <c r="J485" s="87"/>
      <c r="K485" s="87"/>
    </row>
    <row r="486" ht="15.75" customHeight="1">
      <c r="A486" s="83"/>
      <c r="B486" s="83"/>
      <c r="C486" s="83"/>
      <c r="D486" s="84"/>
      <c r="E486" s="85"/>
      <c r="F486" s="83"/>
      <c r="G486" s="86"/>
      <c r="H486" s="83"/>
      <c r="I486" s="83"/>
      <c r="J486" s="83"/>
      <c r="K486" s="83"/>
    </row>
    <row r="487" ht="15.75" customHeight="1">
      <c r="A487" s="87"/>
      <c r="B487" s="87"/>
      <c r="C487" s="87"/>
      <c r="D487" s="88"/>
      <c r="E487" s="89"/>
      <c r="F487" s="87"/>
      <c r="G487" s="90"/>
      <c r="H487" s="87"/>
      <c r="I487" s="87"/>
      <c r="J487" s="87"/>
      <c r="K487" s="87"/>
    </row>
    <row r="488" ht="15.75" customHeight="1">
      <c r="A488" s="83"/>
      <c r="B488" s="83"/>
      <c r="C488" s="83"/>
      <c r="D488" s="84"/>
      <c r="E488" s="85"/>
      <c r="F488" s="83"/>
      <c r="G488" s="86"/>
      <c r="H488" s="83"/>
      <c r="I488" s="83"/>
      <c r="J488" s="83"/>
      <c r="K488" s="83"/>
    </row>
    <row r="489" ht="15.75" customHeight="1">
      <c r="A489" s="87"/>
      <c r="B489" s="87"/>
      <c r="C489" s="87"/>
      <c r="D489" s="88"/>
      <c r="E489" s="89"/>
      <c r="F489" s="87"/>
      <c r="G489" s="90"/>
      <c r="H489" s="87"/>
      <c r="I489" s="87"/>
      <c r="J489" s="87"/>
      <c r="K489" s="87"/>
    </row>
    <row r="490" ht="15.75" customHeight="1">
      <c r="A490" s="83"/>
      <c r="B490" s="83"/>
      <c r="C490" s="83"/>
      <c r="D490" s="84"/>
      <c r="E490" s="85"/>
      <c r="F490" s="83"/>
      <c r="G490" s="86"/>
      <c r="H490" s="83"/>
      <c r="I490" s="83"/>
      <c r="J490" s="83"/>
      <c r="K490" s="83"/>
    </row>
    <row r="491" ht="15.75" customHeight="1">
      <c r="A491" s="87"/>
      <c r="B491" s="87"/>
      <c r="C491" s="87"/>
      <c r="D491" s="88"/>
      <c r="E491" s="89"/>
      <c r="F491" s="87"/>
      <c r="G491" s="90"/>
      <c r="H491" s="87"/>
      <c r="I491" s="87"/>
      <c r="J491" s="87"/>
      <c r="K491" s="87"/>
    </row>
    <row r="492" ht="15.75" customHeight="1">
      <c r="A492" s="83"/>
      <c r="B492" s="83"/>
      <c r="C492" s="83"/>
      <c r="D492" s="84"/>
      <c r="E492" s="85"/>
      <c r="F492" s="83"/>
      <c r="G492" s="86"/>
      <c r="H492" s="83"/>
      <c r="I492" s="83"/>
      <c r="J492" s="83"/>
      <c r="K492" s="83"/>
    </row>
    <row r="493" ht="15.75" customHeight="1">
      <c r="A493" s="87"/>
      <c r="B493" s="87"/>
      <c r="C493" s="87"/>
      <c r="D493" s="88"/>
      <c r="E493" s="89"/>
      <c r="F493" s="87"/>
      <c r="G493" s="90"/>
      <c r="H493" s="87"/>
      <c r="I493" s="87"/>
      <c r="J493" s="87"/>
      <c r="K493" s="87"/>
    </row>
    <row r="494" ht="15.75" customHeight="1">
      <c r="A494" s="83"/>
      <c r="B494" s="83"/>
      <c r="C494" s="83"/>
      <c r="D494" s="84"/>
      <c r="E494" s="85"/>
      <c r="F494" s="83"/>
      <c r="G494" s="86"/>
      <c r="H494" s="83"/>
      <c r="I494" s="83"/>
      <c r="J494" s="83"/>
      <c r="K494" s="83"/>
    </row>
    <row r="495" ht="15.75" customHeight="1">
      <c r="A495" s="87"/>
      <c r="B495" s="87"/>
      <c r="C495" s="87"/>
      <c r="D495" s="88"/>
      <c r="E495" s="89"/>
      <c r="F495" s="87"/>
      <c r="G495" s="90"/>
      <c r="H495" s="87"/>
      <c r="I495" s="87"/>
      <c r="J495" s="87"/>
      <c r="K495" s="87"/>
    </row>
    <row r="496" ht="15.75" customHeight="1">
      <c r="A496" s="83"/>
      <c r="B496" s="83"/>
      <c r="C496" s="83"/>
      <c r="D496" s="84"/>
      <c r="E496" s="85"/>
      <c r="F496" s="83"/>
      <c r="G496" s="86"/>
      <c r="H496" s="83"/>
      <c r="I496" s="83"/>
      <c r="J496" s="83"/>
      <c r="K496" s="83"/>
    </row>
    <row r="497" ht="15.75" customHeight="1">
      <c r="A497" s="87"/>
      <c r="B497" s="87"/>
      <c r="C497" s="87"/>
      <c r="D497" s="88"/>
      <c r="E497" s="89"/>
      <c r="F497" s="87"/>
      <c r="G497" s="90"/>
      <c r="H497" s="87"/>
      <c r="I497" s="87"/>
      <c r="J497" s="87"/>
      <c r="K497" s="87"/>
    </row>
    <row r="498" ht="15.75" customHeight="1">
      <c r="A498" s="83"/>
      <c r="B498" s="83"/>
      <c r="C498" s="83"/>
      <c r="D498" s="84"/>
      <c r="E498" s="85"/>
      <c r="F498" s="83"/>
      <c r="G498" s="86"/>
      <c r="H498" s="83"/>
      <c r="I498" s="83"/>
      <c r="J498" s="83"/>
      <c r="K498" s="83"/>
    </row>
    <row r="499" ht="15.75" customHeight="1">
      <c r="A499" s="87"/>
      <c r="B499" s="87"/>
      <c r="C499" s="87"/>
      <c r="D499" s="88"/>
      <c r="E499" s="89"/>
      <c r="F499" s="87"/>
      <c r="G499" s="90"/>
      <c r="H499" s="87"/>
      <c r="I499" s="87"/>
      <c r="J499" s="87"/>
      <c r="K499" s="87"/>
    </row>
    <row r="500" ht="15.75" customHeight="1">
      <c r="A500" s="83"/>
      <c r="B500" s="83"/>
      <c r="C500" s="83"/>
      <c r="D500" s="84"/>
      <c r="E500" s="85"/>
      <c r="F500" s="83"/>
      <c r="G500" s="86"/>
      <c r="H500" s="83"/>
      <c r="I500" s="83"/>
      <c r="J500" s="83"/>
      <c r="K500" s="83"/>
    </row>
    <row r="501" ht="15.75" customHeight="1">
      <c r="A501" s="87"/>
      <c r="B501" s="87"/>
      <c r="C501" s="87"/>
      <c r="D501" s="88"/>
      <c r="E501" s="89"/>
      <c r="F501" s="87"/>
      <c r="G501" s="90"/>
      <c r="H501" s="87"/>
      <c r="I501" s="87"/>
      <c r="J501" s="87"/>
      <c r="K501" s="87"/>
    </row>
    <row r="502" ht="15.75" customHeight="1">
      <c r="A502" s="83"/>
      <c r="B502" s="83"/>
      <c r="C502" s="83"/>
      <c r="D502" s="84"/>
      <c r="E502" s="85"/>
      <c r="F502" s="83"/>
      <c r="G502" s="86"/>
      <c r="H502" s="83"/>
      <c r="I502" s="83"/>
      <c r="J502" s="83"/>
      <c r="K502" s="83"/>
    </row>
    <row r="503" ht="15.75" customHeight="1">
      <c r="A503" s="87"/>
      <c r="B503" s="87"/>
      <c r="C503" s="87"/>
      <c r="D503" s="88"/>
      <c r="E503" s="89"/>
      <c r="F503" s="87"/>
      <c r="G503" s="90"/>
      <c r="H503" s="87"/>
      <c r="I503" s="87"/>
      <c r="J503" s="87"/>
      <c r="K503" s="87"/>
    </row>
    <row r="504" ht="15.75" customHeight="1">
      <c r="A504" s="83"/>
      <c r="B504" s="83"/>
      <c r="C504" s="83"/>
      <c r="D504" s="84"/>
      <c r="E504" s="85"/>
      <c r="F504" s="83"/>
      <c r="G504" s="86"/>
      <c r="H504" s="83"/>
      <c r="I504" s="83"/>
      <c r="J504" s="83"/>
      <c r="K504" s="83"/>
    </row>
    <row r="505" ht="15.75" customHeight="1">
      <c r="A505" s="87"/>
      <c r="B505" s="87"/>
      <c r="C505" s="87"/>
      <c r="D505" s="88"/>
      <c r="E505" s="89"/>
      <c r="F505" s="87"/>
      <c r="G505" s="90"/>
      <c r="H505" s="87"/>
      <c r="I505" s="87"/>
      <c r="J505" s="87"/>
      <c r="K505" s="87"/>
    </row>
    <row r="506" ht="15.75" customHeight="1">
      <c r="A506" s="83"/>
      <c r="B506" s="83"/>
      <c r="C506" s="83"/>
      <c r="D506" s="84"/>
      <c r="E506" s="85"/>
      <c r="F506" s="83"/>
      <c r="G506" s="86"/>
      <c r="H506" s="83"/>
      <c r="I506" s="83"/>
      <c r="J506" s="83"/>
      <c r="K506" s="83"/>
    </row>
    <row r="507" ht="15.75" customHeight="1">
      <c r="A507" s="87"/>
      <c r="B507" s="87"/>
      <c r="C507" s="87"/>
      <c r="D507" s="88"/>
      <c r="E507" s="89"/>
      <c r="F507" s="87"/>
      <c r="G507" s="90"/>
      <c r="H507" s="87"/>
      <c r="I507" s="87"/>
      <c r="J507" s="87"/>
      <c r="K507" s="87"/>
    </row>
    <row r="508" ht="15.75" customHeight="1">
      <c r="A508" s="83"/>
      <c r="B508" s="83"/>
      <c r="C508" s="83"/>
      <c r="D508" s="84"/>
      <c r="E508" s="85"/>
      <c r="F508" s="83"/>
      <c r="G508" s="86"/>
      <c r="H508" s="83"/>
      <c r="I508" s="83"/>
      <c r="J508" s="83"/>
      <c r="K508" s="83"/>
    </row>
    <row r="509" ht="15.75" customHeight="1">
      <c r="A509" s="87"/>
      <c r="B509" s="87"/>
      <c r="C509" s="87"/>
      <c r="D509" s="88"/>
      <c r="E509" s="89"/>
      <c r="F509" s="87"/>
      <c r="G509" s="90"/>
      <c r="H509" s="87"/>
      <c r="I509" s="87"/>
      <c r="J509" s="87"/>
      <c r="K509" s="87"/>
    </row>
    <row r="510" ht="15.75" customHeight="1">
      <c r="A510" s="83"/>
      <c r="B510" s="83"/>
      <c r="C510" s="83"/>
      <c r="D510" s="84"/>
      <c r="E510" s="85"/>
      <c r="F510" s="83"/>
      <c r="G510" s="86"/>
      <c r="H510" s="83"/>
      <c r="I510" s="83"/>
      <c r="J510" s="83"/>
      <c r="K510" s="83"/>
    </row>
    <row r="511" ht="15.75" customHeight="1">
      <c r="A511" s="87"/>
      <c r="B511" s="87"/>
      <c r="C511" s="87"/>
      <c r="D511" s="88"/>
      <c r="E511" s="89"/>
      <c r="F511" s="87"/>
      <c r="G511" s="90"/>
      <c r="H511" s="87"/>
      <c r="I511" s="87"/>
      <c r="J511" s="87"/>
      <c r="K511" s="87"/>
    </row>
    <row r="512" ht="15.75" customHeight="1">
      <c r="A512" s="83"/>
      <c r="B512" s="83"/>
      <c r="C512" s="83"/>
      <c r="D512" s="84"/>
      <c r="E512" s="85"/>
      <c r="F512" s="83"/>
      <c r="G512" s="86"/>
      <c r="H512" s="83"/>
      <c r="I512" s="83"/>
      <c r="J512" s="83"/>
      <c r="K512" s="83"/>
    </row>
    <row r="513" ht="15.75" customHeight="1">
      <c r="A513" s="87"/>
      <c r="B513" s="87"/>
      <c r="C513" s="87"/>
      <c r="D513" s="88"/>
      <c r="E513" s="89"/>
      <c r="F513" s="87"/>
      <c r="G513" s="90"/>
      <c r="H513" s="87"/>
      <c r="I513" s="87"/>
      <c r="J513" s="87"/>
      <c r="K513" s="87"/>
    </row>
    <row r="514" ht="15.75" customHeight="1">
      <c r="A514" s="83"/>
      <c r="B514" s="83"/>
      <c r="C514" s="83"/>
      <c r="D514" s="84"/>
      <c r="E514" s="85"/>
      <c r="F514" s="83"/>
      <c r="G514" s="86"/>
      <c r="H514" s="83"/>
      <c r="I514" s="83"/>
      <c r="J514" s="83"/>
      <c r="K514" s="83"/>
    </row>
    <row r="515" ht="15.75" customHeight="1">
      <c r="A515" s="87"/>
      <c r="B515" s="87"/>
      <c r="C515" s="87"/>
      <c r="D515" s="88"/>
      <c r="E515" s="89"/>
      <c r="F515" s="87"/>
      <c r="G515" s="90"/>
      <c r="H515" s="87"/>
      <c r="I515" s="87"/>
      <c r="J515" s="87"/>
      <c r="K515" s="87"/>
    </row>
    <row r="516" ht="15.75" customHeight="1">
      <c r="A516" s="83"/>
      <c r="B516" s="83"/>
      <c r="C516" s="83"/>
      <c r="D516" s="84"/>
      <c r="E516" s="85"/>
      <c r="F516" s="83"/>
      <c r="G516" s="86"/>
      <c r="H516" s="83"/>
      <c r="I516" s="83"/>
      <c r="J516" s="83"/>
      <c r="K516" s="83"/>
    </row>
    <row r="517" ht="15.75" customHeight="1">
      <c r="A517" s="87"/>
      <c r="B517" s="87"/>
      <c r="C517" s="87"/>
      <c r="D517" s="88"/>
      <c r="E517" s="89"/>
      <c r="F517" s="87"/>
      <c r="G517" s="90"/>
      <c r="H517" s="87"/>
      <c r="I517" s="87"/>
      <c r="J517" s="87"/>
      <c r="K517" s="87"/>
    </row>
    <row r="518" ht="15.75" customHeight="1">
      <c r="A518" s="83"/>
      <c r="B518" s="83"/>
      <c r="C518" s="83"/>
      <c r="D518" s="84"/>
      <c r="E518" s="85"/>
      <c r="F518" s="83"/>
      <c r="G518" s="86"/>
      <c r="H518" s="83"/>
      <c r="I518" s="83"/>
      <c r="J518" s="83"/>
      <c r="K518" s="83"/>
    </row>
    <row r="519" ht="15.75" customHeight="1">
      <c r="A519" s="87"/>
      <c r="B519" s="87"/>
      <c r="C519" s="87"/>
      <c r="D519" s="88"/>
      <c r="E519" s="89"/>
      <c r="F519" s="87"/>
      <c r="G519" s="90"/>
      <c r="H519" s="87"/>
      <c r="I519" s="87"/>
      <c r="J519" s="87"/>
      <c r="K519" s="87"/>
    </row>
    <row r="520" ht="15.75" customHeight="1">
      <c r="A520" s="83"/>
      <c r="B520" s="83"/>
      <c r="C520" s="83"/>
      <c r="D520" s="84"/>
      <c r="E520" s="85"/>
      <c r="F520" s="83"/>
      <c r="G520" s="86"/>
      <c r="H520" s="83"/>
      <c r="I520" s="83"/>
      <c r="J520" s="83"/>
      <c r="K520" s="83"/>
    </row>
    <row r="521" ht="15.75" customHeight="1">
      <c r="A521" s="87"/>
      <c r="B521" s="87"/>
      <c r="C521" s="87"/>
      <c r="D521" s="88"/>
      <c r="E521" s="89"/>
      <c r="F521" s="87"/>
      <c r="G521" s="90"/>
      <c r="H521" s="87"/>
      <c r="I521" s="87"/>
      <c r="J521" s="87"/>
      <c r="K521" s="87"/>
    </row>
    <row r="522" ht="15.75" customHeight="1">
      <c r="A522" s="83"/>
      <c r="B522" s="83"/>
      <c r="C522" s="83"/>
      <c r="D522" s="84"/>
      <c r="E522" s="85"/>
      <c r="F522" s="83"/>
      <c r="G522" s="86"/>
      <c r="H522" s="83"/>
      <c r="I522" s="83"/>
      <c r="J522" s="83"/>
      <c r="K522" s="83"/>
    </row>
    <row r="523" ht="15.75" customHeight="1">
      <c r="A523" s="87"/>
      <c r="B523" s="87"/>
      <c r="C523" s="87"/>
      <c r="D523" s="88"/>
      <c r="E523" s="89"/>
      <c r="F523" s="87"/>
      <c r="G523" s="90"/>
      <c r="H523" s="87"/>
      <c r="I523" s="87"/>
      <c r="J523" s="87"/>
      <c r="K523" s="87"/>
    </row>
    <row r="524" ht="15.75" customHeight="1">
      <c r="A524" s="83"/>
      <c r="B524" s="83"/>
      <c r="C524" s="83"/>
      <c r="D524" s="84"/>
      <c r="E524" s="85"/>
      <c r="F524" s="83"/>
      <c r="G524" s="86"/>
      <c r="H524" s="83"/>
      <c r="I524" s="83"/>
      <c r="J524" s="83"/>
      <c r="K524" s="83"/>
    </row>
    <row r="525" ht="15.75" customHeight="1">
      <c r="A525" s="87"/>
      <c r="B525" s="87"/>
      <c r="C525" s="87"/>
      <c r="D525" s="88"/>
      <c r="E525" s="89"/>
      <c r="F525" s="87"/>
      <c r="G525" s="90"/>
      <c r="H525" s="87"/>
      <c r="I525" s="87"/>
      <c r="J525" s="87"/>
      <c r="K525" s="87"/>
    </row>
    <row r="526" ht="15.75" customHeight="1">
      <c r="A526" s="83"/>
      <c r="B526" s="83"/>
      <c r="C526" s="83"/>
      <c r="D526" s="84"/>
      <c r="E526" s="85"/>
      <c r="F526" s="83"/>
      <c r="G526" s="86"/>
      <c r="H526" s="83"/>
      <c r="I526" s="83"/>
      <c r="J526" s="83"/>
      <c r="K526" s="83"/>
    </row>
    <row r="527" ht="15.75" customHeight="1">
      <c r="A527" s="87"/>
      <c r="B527" s="87"/>
      <c r="C527" s="87"/>
      <c r="D527" s="88"/>
      <c r="E527" s="89"/>
      <c r="F527" s="87"/>
      <c r="G527" s="90"/>
      <c r="H527" s="87"/>
      <c r="I527" s="87"/>
      <c r="J527" s="87"/>
      <c r="K527" s="87"/>
    </row>
    <row r="528" ht="15.75" customHeight="1">
      <c r="A528" s="83"/>
      <c r="B528" s="83"/>
      <c r="C528" s="83"/>
      <c r="D528" s="84"/>
      <c r="E528" s="85"/>
      <c r="F528" s="83"/>
      <c r="G528" s="86"/>
      <c r="H528" s="83"/>
      <c r="I528" s="83"/>
      <c r="J528" s="83"/>
      <c r="K528" s="83"/>
    </row>
    <row r="529" ht="15.75" customHeight="1">
      <c r="A529" s="87"/>
      <c r="B529" s="87"/>
      <c r="C529" s="87"/>
      <c r="D529" s="88"/>
      <c r="E529" s="89"/>
      <c r="F529" s="87"/>
      <c r="G529" s="90"/>
      <c r="H529" s="87"/>
      <c r="I529" s="87"/>
      <c r="J529" s="87"/>
      <c r="K529" s="87"/>
    </row>
    <row r="530" ht="15.75" customHeight="1">
      <c r="A530" s="83"/>
      <c r="B530" s="83"/>
      <c r="C530" s="83"/>
      <c r="D530" s="84"/>
      <c r="E530" s="85"/>
      <c r="F530" s="83"/>
      <c r="G530" s="86"/>
      <c r="H530" s="83"/>
      <c r="I530" s="83"/>
      <c r="J530" s="83"/>
      <c r="K530" s="83"/>
    </row>
    <row r="531" ht="15.75" customHeight="1">
      <c r="A531" s="87"/>
      <c r="B531" s="87"/>
      <c r="C531" s="87"/>
      <c r="D531" s="88"/>
      <c r="E531" s="89"/>
      <c r="F531" s="87"/>
      <c r="G531" s="90"/>
      <c r="H531" s="87"/>
      <c r="I531" s="87"/>
      <c r="J531" s="87"/>
      <c r="K531" s="87"/>
    </row>
    <row r="532" ht="15.75" customHeight="1">
      <c r="A532" s="83"/>
      <c r="B532" s="83"/>
      <c r="C532" s="83"/>
      <c r="D532" s="84"/>
      <c r="E532" s="85"/>
      <c r="F532" s="83"/>
      <c r="G532" s="86"/>
      <c r="H532" s="83"/>
      <c r="I532" s="83"/>
      <c r="J532" s="83"/>
      <c r="K532" s="83"/>
    </row>
    <row r="533" ht="15.75" customHeight="1">
      <c r="A533" s="87"/>
      <c r="B533" s="87"/>
      <c r="C533" s="87"/>
      <c r="D533" s="88"/>
      <c r="E533" s="89"/>
      <c r="F533" s="87"/>
      <c r="G533" s="90"/>
      <c r="H533" s="87"/>
      <c r="I533" s="87"/>
      <c r="J533" s="87"/>
      <c r="K533" s="87"/>
    </row>
    <row r="534" ht="15.75" customHeight="1">
      <c r="A534" s="83"/>
      <c r="B534" s="83"/>
      <c r="C534" s="83"/>
      <c r="D534" s="84"/>
      <c r="E534" s="85"/>
      <c r="F534" s="83"/>
      <c r="G534" s="86"/>
      <c r="H534" s="83"/>
      <c r="I534" s="83"/>
      <c r="J534" s="83"/>
      <c r="K534" s="83"/>
    </row>
    <row r="535" ht="15.75" customHeight="1">
      <c r="A535" s="87"/>
      <c r="B535" s="87"/>
      <c r="C535" s="87"/>
      <c r="D535" s="88"/>
      <c r="E535" s="89"/>
      <c r="F535" s="87"/>
      <c r="G535" s="90"/>
      <c r="H535" s="87"/>
      <c r="I535" s="87"/>
      <c r="J535" s="87"/>
      <c r="K535" s="87"/>
    </row>
    <row r="536" ht="15.75" customHeight="1">
      <c r="A536" s="83"/>
      <c r="B536" s="83"/>
      <c r="C536" s="83"/>
      <c r="D536" s="84"/>
      <c r="E536" s="85"/>
      <c r="F536" s="83"/>
      <c r="G536" s="86"/>
      <c r="H536" s="83"/>
      <c r="I536" s="83"/>
      <c r="J536" s="83"/>
      <c r="K536" s="83"/>
    </row>
    <row r="537" ht="15.75" customHeight="1">
      <c r="A537" s="87"/>
      <c r="B537" s="87"/>
      <c r="C537" s="87"/>
      <c r="D537" s="88"/>
      <c r="E537" s="89"/>
      <c r="F537" s="87"/>
      <c r="G537" s="90"/>
      <c r="H537" s="87"/>
      <c r="I537" s="87"/>
      <c r="J537" s="87"/>
      <c r="K537" s="87"/>
    </row>
    <row r="538" ht="15.75" customHeight="1">
      <c r="A538" s="83"/>
      <c r="B538" s="83"/>
      <c r="C538" s="83"/>
      <c r="D538" s="84"/>
      <c r="E538" s="85"/>
      <c r="F538" s="83"/>
      <c r="G538" s="86"/>
      <c r="H538" s="83"/>
      <c r="I538" s="83"/>
      <c r="J538" s="83"/>
      <c r="K538" s="83"/>
    </row>
    <row r="539" ht="15.75" customHeight="1">
      <c r="A539" s="87"/>
      <c r="B539" s="87"/>
      <c r="C539" s="87"/>
      <c r="D539" s="88"/>
      <c r="E539" s="89"/>
      <c r="F539" s="87"/>
      <c r="G539" s="90"/>
      <c r="H539" s="87"/>
      <c r="I539" s="87"/>
      <c r="J539" s="87"/>
      <c r="K539" s="87"/>
    </row>
    <row r="540" ht="15.75" customHeight="1">
      <c r="A540" s="83"/>
      <c r="B540" s="83"/>
      <c r="C540" s="83"/>
      <c r="D540" s="84"/>
      <c r="E540" s="85"/>
      <c r="F540" s="83"/>
      <c r="G540" s="86"/>
      <c r="H540" s="83"/>
      <c r="I540" s="83"/>
      <c r="J540" s="83"/>
      <c r="K540" s="83"/>
    </row>
    <row r="541" ht="15.75" customHeight="1">
      <c r="A541" s="87"/>
      <c r="B541" s="87"/>
      <c r="C541" s="87"/>
      <c r="D541" s="88"/>
      <c r="E541" s="89"/>
      <c r="F541" s="87"/>
      <c r="G541" s="90"/>
      <c r="H541" s="87"/>
      <c r="I541" s="87"/>
      <c r="J541" s="87"/>
      <c r="K541" s="87"/>
    </row>
    <row r="542" ht="15.75" customHeight="1">
      <c r="A542" s="83"/>
      <c r="B542" s="83"/>
      <c r="C542" s="83"/>
      <c r="D542" s="84"/>
      <c r="E542" s="85"/>
      <c r="F542" s="83"/>
      <c r="G542" s="86"/>
      <c r="H542" s="83"/>
      <c r="I542" s="83"/>
      <c r="J542" s="83"/>
      <c r="K542" s="83"/>
    </row>
    <row r="543" ht="15.75" customHeight="1">
      <c r="A543" s="87"/>
      <c r="B543" s="87"/>
      <c r="C543" s="87"/>
      <c r="D543" s="88"/>
      <c r="E543" s="89"/>
      <c r="F543" s="87"/>
      <c r="G543" s="90"/>
      <c r="H543" s="87"/>
      <c r="I543" s="87"/>
      <c r="J543" s="87"/>
      <c r="K543" s="87"/>
    </row>
    <row r="544" ht="15.75" customHeight="1">
      <c r="A544" s="83"/>
      <c r="B544" s="83"/>
      <c r="C544" s="83"/>
      <c r="D544" s="84"/>
      <c r="E544" s="85"/>
      <c r="F544" s="83"/>
      <c r="G544" s="86"/>
      <c r="H544" s="83"/>
      <c r="I544" s="83"/>
      <c r="J544" s="83"/>
      <c r="K544" s="83"/>
    </row>
    <row r="545" ht="15.75" customHeight="1">
      <c r="A545" s="87"/>
      <c r="B545" s="87"/>
      <c r="C545" s="87"/>
      <c r="D545" s="88"/>
      <c r="E545" s="89"/>
      <c r="F545" s="87"/>
      <c r="G545" s="90"/>
      <c r="H545" s="87"/>
      <c r="I545" s="87"/>
      <c r="J545" s="87"/>
      <c r="K545" s="87"/>
    </row>
    <row r="546" ht="15.75" customHeight="1">
      <c r="A546" s="83"/>
      <c r="B546" s="83"/>
      <c r="C546" s="83"/>
      <c r="D546" s="84"/>
      <c r="E546" s="85"/>
      <c r="F546" s="83"/>
      <c r="G546" s="86"/>
      <c r="H546" s="83"/>
      <c r="I546" s="83"/>
      <c r="J546" s="83"/>
      <c r="K546" s="83"/>
    </row>
    <row r="547" ht="15.75" customHeight="1">
      <c r="A547" s="87"/>
      <c r="B547" s="87"/>
      <c r="C547" s="87"/>
      <c r="D547" s="88"/>
      <c r="E547" s="89"/>
      <c r="F547" s="87"/>
      <c r="G547" s="90"/>
      <c r="H547" s="87"/>
      <c r="I547" s="87"/>
      <c r="J547" s="87"/>
      <c r="K547" s="87"/>
    </row>
    <row r="548" ht="15.75" customHeight="1">
      <c r="A548" s="83"/>
      <c r="B548" s="83"/>
      <c r="C548" s="83"/>
      <c r="D548" s="84"/>
      <c r="E548" s="85"/>
      <c r="F548" s="83"/>
      <c r="G548" s="86"/>
      <c r="H548" s="83"/>
      <c r="I548" s="83"/>
      <c r="J548" s="83"/>
      <c r="K548" s="83"/>
    </row>
    <row r="549" ht="15.75" customHeight="1">
      <c r="A549" s="87"/>
      <c r="B549" s="87"/>
      <c r="C549" s="87"/>
      <c r="D549" s="88"/>
      <c r="E549" s="89"/>
      <c r="F549" s="87"/>
      <c r="G549" s="90"/>
      <c r="H549" s="87"/>
      <c r="I549" s="87"/>
      <c r="J549" s="87"/>
      <c r="K549" s="87"/>
    </row>
    <row r="550" ht="15.75" customHeight="1">
      <c r="A550" s="83"/>
      <c r="B550" s="83"/>
      <c r="C550" s="83"/>
      <c r="D550" s="84"/>
      <c r="E550" s="85"/>
      <c r="F550" s="83"/>
      <c r="G550" s="86"/>
      <c r="H550" s="83"/>
      <c r="I550" s="83"/>
      <c r="J550" s="83"/>
      <c r="K550" s="83"/>
    </row>
    <row r="551" ht="15.75" customHeight="1">
      <c r="A551" s="87"/>
      <c r="B551" s="87"/>
      <c r="C551" s="87"/>
      <c r="D551" s="88"/>
      <c r="E551" s="89"/>
      <c r="F551" s="87"/>
      <c r="G551" s="90"/>
      <c r="H551" s="87"/>
      <c r="I551" s="87"/>
      <c r="J551" s="87"/>
      <c r="K551" s="87"/>
    </row>
    <row r="552" ht="15.75" customHeight="1">
      <c r="A552" s="83"/>
      <c r="B552" s="83"/>
      <c r="C552" s="83"/>
      <c r="D552" s="84"/>
      <c r="E552" s="85"/>
      <c r="F552" s="83"/>
      <c r="G552" s="86"/>
      <c r="H552" s="83"/>
      <c r="I552" s="83"/>
      <c r="J552" s="83"/>
      <c r="K552" s="83"/>
    </row>
    <row r="553" ht="15.75" customHeight="1">
      <c r="A553" s="87"/>
      <c r="B553" s="87"/>
      <c r="C553" s="87"/>
      <c r="D553" s="88"/>
      <c r="E553" s="89"/>
      <c r="F553" s="87"/>
      <c r="G553" s="90"/>
      <c r="H553" s="87"/>
      <c r="I553" s="87"/>
      <c r="J553" s="87"/>
      <c r="K553" s="87"/>
    </row>
    <row r="554" ht="15.75" customHeight="1">
      <c r="A554" s="83"/>
      <c r="B554" s="83"/>
      <c r="C554" s="83"/>
      <c r="D554" s="84"/>
      <c r="E554" s="85"/>
      <c r="F554" s="83"/>
      <c r="G554" s="86"/>
      <c r="H554" s="83"/>
      <c r="I554" s="83"/>
      <c r="J554" s="83"/>
      <c r="K554" s="83"/>
    </row>
    <row r="555" ht="15.75" customHeight="1">
      <c r="A555" s="87"/>
      <c r="B555" s="87"/>
      <c r="C555" s="87"/>
      <c r="D555" s="88"/>
      <c r="E555" s="89"/>
      <c r="F555" s="87"/>
      <c r="G555" s="90"/>
      <c r="H555" s="87"/>
      <c r="I555" s="87"/>
      <c r="J555" s="87"/>
      <c r="K555" s="87"/>
    </row>
    <row r="556" ht="15.75" customHeight="1">
      <c r="A556" s="83"/>
      <c r="B556" s="83"/>
      <c r="C556" s="83"/>
      <c r="D556" s="84"/>
      <c r="E556" s="85"/>
      <c r="F556" s="83"/>
      <c r="G556" s="86"/>
      <c r="H556" s="83"/>
      <c r="I556" s="83"/>
      <c r="J556" s="83"/>
      <c r="K556" s="83"/>
    </row>
    <row r="557" ht="15.75" customHeight="1">
      <c r="A557" s="87"/>
      <c r="B557" s="87"/>
      <c r="C557" s="87"/>
      <c r="D557" s="88"/>
      <c r="E557" s="89"/>
      <c r="F557" s="87"/>
      <c r="G557" s="90"/>
      <c r="H557" s="87"/>
      <c r="I557" s="87"/>
      <c r="J557" s="87"/>
      <c r="K557" s="87"/>
    </row>
    <row r="558" ht="15.75" customHeight="1">
      <c r="A558" s="83"/>
      <c r="B558" s="83"/>
      <c r="C558" s="83"/>
      <c r="D558" s="84"/>
      <c r="E558" s="85"/>
      <c r="F558" s="83"/>
      <c r="G558" s="86"/>
      <c r="H558" s="83"/>
      <c r="I558" s="83"/>
      <c r="J558" s="83"/>
      <c r="K558" s="83"/>
    </row>
    <row r="559" ht="15.75" customHeight="1">
      <c r="A559" s="87"/>
      <c r="B559" s="87"/>
      <c r="C559" s="87"/>
      <c r="D559" s="88"/>
      <c r="E559" s="89"/>
      <c r="F559" s="87"/>
      <c r="G559" s="90"/>
      <c r="H559" s="87"/>
      <c r="I559" s="87"/>
      <c r="J559" s="87"/>
      <c r="K559" s="87"/>
    </row>
    <row r="560" ht="15.75" customHeight="1">
      <c r="A560" s="83"/>
      <c r="B560" s="83"/>
      <c r="C560" s="83"/>
      <c r="D560" s="84"/>
      <c r="E560" s="85"/>
      <c r="F560" s="83"/>
      <c r="G560" s="86"/>
      <c r="H560" s="83"/>
      <c r="I560" s="83"/>
      <c r="J560" s="83"/>
      <c r="K560" s="83"/>
    </row>
    <row r="561" ht="15.75" customHeight="1">
      <c r="A561" s="87"/>
      <c r="B561" s="87"/>
      <c r="C561" s="87"/>
      <c r="D561" s="88"/>
      <c r="E561" s="89"/>
      <c r="F561" s="87"/>
      <c r="G561" s="90"/>
      <c r="H561" s="87"/>
      <c r="I561" s="87"/>
      <c r="J561" s="87"/>
      <c r="K561" s="87"/>
    </row>
    <row r="562" ht="15.75" customHeight="1">
      <c r="A562" s="83"/>
      <c r="B562" s="83"/>
      <c r="C562" s="83"/>
      <c r="D562" s="84"/>
      <c r="E562" s="85"/>
      <c r="F562" s="83"/>
      <c r="G562" s="86"/>
      <c r="H562" s="83"/>
      <c r="I562" s="83"/>
      <c r="J562" s="83"/>
      <c r="K562" s="83"/>
    </row>
    <row r="563" ht="15.75" customHeight="1">
      <c r="A563" s="87"/>
      <c r="B563" s="87"/>
      <c r="C563" s="87"/>
      <c r="D563" s="88"/>
      <c r="E563" s="89"/>
      <c r="F563" s="87"/>
      <c r="G563" s="90"/>
      <c r="H563" s="87"/>
      <c r="I563" s="87"/>
      <c r="J563" s="87"/>
      <c r="K563" s="87"/>
    </row>
    <row r="564" ht="15.75" customHeight="1">
      <c r="A564" s="83"/>
      <c r="B564" s="83"/>
      <c r="C564" s="83"/>
      <c r="D564" s="84"/>
      <c r="E564" s="85"/>
      <c r="F564" s="83"/>
      <c r="G564" s="86"/>
      <c r="H564" s="83"/>
      <c r="I564" s="83"/>
      <c r="J564" s="83"/>
      <c r="K564" s="83"/>
    </row>
    <row r="565" ht="15.75" customHeight="1">
      <c r="A565" s="87"/>
      <c r="B565" s="87"/>
      <c r="C565" s="87"/>
      <c r="D565" s="88"/>
      <c r="E565" s="89"/>
      <c r="F565" s="87"/>
      <c r="G565" s="90"/>
      <c r="H565" s="87"/>
      <c r="I565" s="87"/>
      <c r="J565" s="87"/>
      <c r="K565" s="87"/>
    </row>
    <row r="566" ht="15.75" customHeight="1">
      <c r="A566" s="83"/>
      <c r="B566" s="83"/>
      <c r="C566" s="83"/>
      <c r="D566" s="84"/>
      <c r="E566" s="85"/>
      <c r="F566" s="83"/>
      <c r="G566" s="86"/>
      <c r="H566" s="83"/>
      <c r="I566" s="83"/>
      <c r="J566" s="83"/>
      <c r="K566" s="83"/>
    </row>
    <row r="567" ht="15.75" customHeight="1">
      <c r="A567" s="87"/>
      <c r="B567" s="87"/>
      <c r="C567" s="87"/>
      <c r="D567" s="88"/>
      <c r="E567" s="89"/>
      <c r="F567" s="87"/>
      <c r="G567" s="90"/>
      <c r="H567" s="87"/>
      <c r="I567" s="87"/>
      <c r="J567" s="87"/>
      <c r="K567" s="87"/>
    </row>
    <row r="568" ht="15.75" customHeight="1">
      <c r="A568" s="83"/>
      <c r="B568" s="83"/>
      <c r="C568" s="83"/>
      <c r="D568" s="84"/>
      <c r="E568" s="85"/>
      <c r="F568" s="83"/>
      <c r="G568" s="86"/>
      <c r="H568" s="83"/>
      <c r="I568" s="83"/>
      <c r="J568" s="83"/>
      <c r="K568" s="83"/>
    </row>
    <row r="569" ht="15.75" customHeight="1">
      <c r="A569" s="87"/>
      <c r="B569" s="87"/>
      <c r="C569" s="87"/>
      <c r="D569" s="88"/>
      <c r="E569" s="89"/>
      <c r="F569" s="87"/>
      <c r="G569" s="90"/>
      <c r="H569" s="87"/>
      <c r="I569" s="87"/>
      <c r="J569" s="87"/>
      <c r="K569" s="87"/>
    </row>
    <row r="570" ht="15.75" customHeight="1">
      <c r="A570" s="83"/>
      <c r="B570" s="83"/>
      <c r="C570" s="83"/>
      <c r="D570" s="84"/>
      <c r="E570" s="85"/>
      <c r="F570" s="83"/>
      <c r="G570" s="86"/>
      <c r="H570" s="83"/>
      <c r="I570" s="83"/>
      <c r="J570" s="83"/>
      <c r="K570" s="83"/>
    </row>
    <row r="571" ht="15.75" customHeight="1">
      <c r="A571" s="87"/>
      <c r="B571" s="87"/>
      <c r="C571" s="87"/>
      <c r="D571" s="88"/>
      <c r="E571" s="89"/>
      <c r="F571" s="87"/>
      <c r="G571" s="90"/>
      <c r="H571" s="87"/>
      <c r="I571" s="87"/>
      <c r="J571" s="87"/>
      <c r="K571" s="87"/>
    </row>
    <row r="572" ht="15.75" customHeight="1">
      <c r="A572" s="83"/>
      <c r="B572" s="83"/>
      <c r="C572" s="83"/>
      <c r="D572" s="84"/>
      <c r="E572" s="85"/>
      <c r="F572" s="83"/>
      <c r="G572" s="86"/>
      <c r="H572" s="83"/>
      <c r="I572" s="83"/>
      <c r="J572" s="83"/>
      <c r="K572" s="83"/>
    </row>
    <row r="573" ht="15.75" customHeight="1">
      <c r="A573" s="87"/>
      <c r="B573" s="87"/>
      <c r="C573" s="87"/>
      <c r="D573" s="88"/>
      <c r="E573" s="89"/>
      <c r="F573" s="87"/>
      <c r="G573" s="90"/>
      <c r="H573" s="87"/>
      <c r="I573" s="87"/>
      <c r="J573" s="87"/>
      <c r="K573" s="87"/>
    </row>
    <row r="574" ht="15.75" customHeight="1">
      <c r="A574" s="83"/>
      <c r="B574" s="83"/>
      <c r="C574" s="83"/>
      <c r="D574" s="84"/>
      <c r="E574" s="85"/>
      <c r="F574" s="83"/>
      <c r="G574" s="86"/>
      <c r="H574" s="83"/>
      <c r="I574" s="83"/>
      <c r="J574" s="83"/>
      <c r="K574" s="83"/>
    </row>
    <row r="575" ht="15.75" customHeight="1">
      <c r="A575" s="87"/>
      <c r="B575" s="87"/>
      <c r="C575" s="87"/>
      <c r="D575" s="88"/>
      <c r="E575" s="89"/>
      <c r="F575" s="87"/>
      <c r="G575" s="90"/>
      <c r="H575" s="87"/>
      <c r="I575" s="87"/>
      <c r="J575" s="87"/>
      <c r="K575" s="87"/>
    </row>
    <row r="576" ht="15.75" customHeight="1">
      <c r="A576" s="83"/>
      <c r="B576" s="83"/>
      <c r="C576" s="83"/>
      <c r="D576" s="84"/>
      <c r="E576" s="85"/>
      <c r="F576" s="83"/>
      <c r="G576" s="86"/>
      <c r="H576" s="83"/>
      <c r="I576" s="83"/>
      <c r="J576" s="83"/>
      <c r="K576" s="83"/>
    </row>
    <row r="577" ht="15.75" customHeight="1">
      <c r="A577" s="87"/>
      <c r="B577" s="87"/>
      <c r="C577" s="87"/>
      <c r="D577" s="88"/>
      <c r="E577" s="89"/>
      <c r="F577" s="87"/>
      <c r="G577" s="90"/>
      <c r="H577" s="87"/>
      <c r="I577" s="87"/>
      <c r="J577" s="87"/>
      <c r="K577" s="87"/>
    </row>
    <row r="578" ht="15.75" customHeight="1">
      <c r="A578" s="83"/>
      <c r="B578" s="83"/>
      <c r="C578" s="83"/>
      <c r="D578" s="84"/>
      <c r="E578" s="85"/>
      <c r="F578" s="83"/>
      <c r="G578" s="86"/>
      <c r="H578" s="83"/>
      <c r="I578" s="83"/>
      <c r="J578" s="83"/>
      <c r="K578" s="83"/>
    </row>
    <row r="579" ht="15.75" customHeight="1">
      <c r="A579" s="87"/>
      <c r="B579" s="87"/>
      <c r="C579" s="87"/>
      <c r="D579" s="88"/>
      <c r="E579" s="89"/>
      <c r="F579" s="87"/>
      <c r="G579" s="90"/>
      <c r="H579" s="87"/>
      <c r="I579" s="87"/>
      <c r="J579" s="87"/>
      <c r="K579" s="87"/>
    </row>
    <row r="580" ht="15.75" customHeight="1">
      <c r="A580" s="83"/>
      <c r="B580" s="83"/>
      <c r="C580" s="83"/>
      <c r="D580" s="84"/>
      <c r="E580" s="85"/>
      <c r="F580" s="83"/>
      <c r="G580" s="86"/>
      <c r="H580" s="83"/>
      <c r="I580" s="83"/>
      <c r="J580" s="83"/>
      <c r="K580" s="83"/>
    </row>
    <row r="581" ht="15.75" customHeight="1">
      <c r="A581" s="87"/>
      <c r="B581" s="87"/>
      <c r="C581" s="87"/>
      <c r="D581" s="88"/>
      <c r="E581" s="89"/>
      <c r="F581" s="87"/>
      <c r="G581" s="90"/>
      <c r="H581" s="87"/>
      <c r="I581" s="87"/>
      <c r="J581" s="87"/>
      <c r="K581" s="87"/>
    </row>
    <row r="582" ht="15.75" customHeight="1">
      <c r="A582" s="83"/>
      <c r="B582" s="83"/>
      <c r="C582" s="83"/>
      <c r="D582" s="84"/>
      <c r="E582" s="85"/>
      <c r="F582" s="83"/>
      <c r="G582" s="86"/>
      <c r="H582" s="83"/>
      <c r="I582" s="83"/>
      <c r="J582" s="83"/>
      <c r="K582" s="83"/>
    </row>
    <row r="583" ht="15.75" customHeight="1">
      <c r="A583" s="87"/>
      <c r="B583" s="87"/>
      <c r="C583" s="87"/>
      <c r="D583" s="88"/>
      <c r="E583" s="89"/>
      <c r="F583" s="87"/>
      <c r="G583" s="90"/>
      <c r="H583" s="87"/>
      <c r="I583" s="87"/>
      <c r="J583" s="87"/>
      <c r="K583" s="87"/>
    </row>
    <row r="584" ht="15.75" customHeight="1">
      <c r="A584" s="83"/>
      <c r="B584" s="83"/>
      <c r="C584" s="83"/>
      <c r="D584" s="84"/>
      <c r="E584" s="85"/>
      <c r="F584" s="83"/>
      <c r="G584" s="86"/>
      <c r="H584" s="83"/>
      <c r="I584" s="83"/>
      <c r="J584" s="83"/>
      <c r="K584" s="83"/>
    </row>
    <row r="585" ht="15.75" customHeight="1">
      <c r="A585" s="87"/>
      <c r="B585" s="87"/>
      <c r="C585" s="87"/>
      <c r="D585" s="88"/>
      <c r="E585" s="89"/>
      <c r="F585" s="87"/>
      <c r="G585" s="90"/>
      <c r="H585" s="87"/>
      <c r="I585" s="87"/>
      <c r="J585" s="87"/>
      <c r="K585" s="87"/>
    </row>
    <row r="586" ht="15.75" customHeight="1">
      <c r="A586" s="83"/>
      <c r="B586" s="83"/>
      <c r="C586" s="83"/>
      <c r="D586" s="84"/>
      <c r="E586" s="85"/>
      <c r="F586" s="83"/>
      <c r="G586" s="86"/>
      <c r="H586" s="83"/>
      <c r="I586" s="83"/>
      <c r="J586" s="83"/>
      <c r="K586" s="83"/>
    </row>
    <row r="587" ht="15.75" customHeight="1">
      <c r="A587" s="87"/>
      <c r="B587" s="87"/>
      <c r="C587" s="87"/>
      <c r="D587" s="88"/>
      <c r="E587" s="89"/>
      <c r="F587" s="87"/>
      <c r="G587" s="90"/>
      <c r="H587" s="87"/>
      <c r="I587" s="87"/>
      <c r="J587" s="87"/>
      <c r="K587" s="87"/>
    </row>
    <row r="588" ht="15.75" customHeight="1">
      <c r="A588" s="83"/>
      <c r="B588" s="83"/>
      <c r="C588" s="83"/>
      <c r="D588" s="84"/>
      <c r="E588" s="85"/>
      <c r="F588" s="83"/>
      <c r="G588" s="86"/>
      <c r="H588" s="83"/>
      <c r="I588" s="83"/>
      <c r="J588" s="83"/>
      <c r="K588" s="83"/>
    </row>
    <row r="589" ht="15.75" customHeight="1">
      <c r="A589" s="87"/>
      <c r="B589" s="87"/>
      <c r="C589" s="87"/>
      <c r="D589" s="88"/>
      <c r="E589" s="89"/>
      <c r="F589" s="87"/>
      <c r="G589" s="90"/>
      <c r="H589" s="87"/>
      <c r="I589" s="87"/>
      <c r="J589" s="87"/>
      <c r="K589" s="87"/>
    </row>
    <row r="590" ht="15.75" customHeight="1">
      <c r="A590" s="83"/>
      <c r="B590" s="83"/>
      <c r="C590" s="83"/>
      <c r="D590" s="84"/>
      <c r="E590" s="85"/>
      <c r="F590" s="83"/>
      <c r="G590" s="86"/>
      <c r="H590" s="83"/>
      <c r="I590" s="83"/>
      <c r="J590" s="83"/>
      <c r="K590" s="83"/>
    </row>
    <row r="591" ht="15.75" customHeight="1">
      <c r="A591" s="87"/>
      <c r="B591" s="87"/>
      <c r="C591" s="87"/>
      <c r="D591" s="88"/>
      <c r="E591" s="89"/>
      <c r="F591" s="87"/>
      <c r="G591" s="90"/>
      <c r="H591" s="87"/>
      <c r="I591" s="87"/>
      <c r="J591" s="87"/>
      <c r="K591" s="87"/>
    </row>
    <row r="592" ht="15.75" customHeight="1">
      <c r="A592" s="83"/>
      <c r="B592" s="83"/>
      <c r="C592" s="83"/>
      <c r="D592" s="84"/>
      <c r="E592" s="85"/>
      <c r="F592" s="83"/>
      <c r="G592" s="86"/>
      <c r="H592" s="83"/>
      <c r="I592" s="83"/>
      <c r="J592" s="83"/>
      <c r="K592" s="83"/>
    </row>
    <row r="593" ht="15.75" customHeight="1">
      <c r="A593" s="87"/>
      <c r="B593" s="87"/>
      <c r="C593" s="87"/>
      <c r="D593" s="88"/>
      <c r="E593" s="89"/>
      <c r="F593" s="87"/>
      <c r="G593" s="90"/>
      <c r="H593" s="87"/>
      <c r="I593" s="87"/>
      <c r="J593" s="87"/>
      <c r="K593" s="87"/>
    </row>
    <row r="594" ht="15.75" customHeight="1">
      <c r="A594" s="83"/>
      <c r="B594" s="83"/>
      <c r="C594" s="83"/>
      <c r="D594" s="84"/>
      <c r="E594" s="85"/>
      <c r="F594" s="83"/>
      <c r="G594" s="86"/>
      <c r="H594" s="83"/>
      <c r="I594" s="83"/>
      <c r="J594" s="83"/>
      <c r="K594" s="83"/>
    </row>
    <row r="595" ht="15.75" customHeight="1">
      <c r="A595" s="87"/>
      <c r="B595" s="87"/>
      <c r="C595" s="87"/>
      <c r="D595" s="88"/>
      <c r="E595" s="89"/>
      <c r="F595" s="87"/>
      <c r="G595" s="90"/>
      <c r="H595" s="87"/>
      <c r="I595" s="87"/>
      <c r="J595" s="87"/>
      <c r="K595" s="87"/>
    </row>
    <row r="596" ht="15.75" customHeight="1">
      <c r="A596" s="83"/>
      <c r="B596" s="83"/>
      <c r="C596" s="83"/>
      <c r="D596" s="84"/>
      <c r="E596" s="85"/>
      <c r="F596" s="83"/>
      <c r="G596" s="86"/>
      <c r="H596" s="83"/>
      <c r="I596" s="83"/>
      <c r="J596" s="83"/>
      <c r="K596" s="83"/>
    </row>
    <row r="597" ht="15.75" customHeight="1">
      <c r="A597" s="87"/>
      <c r="B597" s="87"/>
      <c r="C597" s="87"/>
      <c r="D597" s="88"/>
      <c r="E597" s="89"/>
      <c r="F597" s="87"/>
      <c r="G597" s="90"/>
      <c r="H597" s="87"/>
      <c r="I597" s="87"/>
      <c r="J597" s="87"/>
      <c r="K597" s="87"/>
    </row>
    <row r="598" ht="15.75" customHeight="1">
      <c r="A598" s="83"/>
      <c r="B598" s="83"/>
      <c r="C598" s="83"/>
      <c r="D598" s="84"/>
      <c r="E598" s="85"/>
      <c r="F598" s="83"/>
      <c r="G598" s="86"/>
      <c r="H598" s="83"/>
      <c r="I598" s="83"/>
      <c r="J598" s="83"/>
      <c r="K598" s="83"/>
    </row>
    <row r="599" ht="15.75" customHeight="1">
      <c r="A599" s="87"/>
      <c r="B599" s="87"/>
      <c r="C599" s="87"/>
      <c r="D599" s="88"/>
      <c r="E599" s="89"/>
      <c r="F599" s="87"/>
      <c r="G599" s="90"/>
      <c r="H599" s="87"/>
      <c r="I599" s="87"/>
      <c r="J599" s="87"/>
      <c r="K599" s="87"/>
    </row>
    <row r="600" ht="15.75" customHeight="1">
      <c r="A600" s="83"/>
      <c r="B600" s="83"/>
      <c r="C600" s="83"/>
      <c r="D600" s="84"/>
      <c r="E600" s="85"/>
      <c r="F600" s="83"/>
      <c r="G600" s="86"/>
      <c r="H600" s="83"/>
      <c r="I600" s="83"/>
      <c r="J600" s="83"/>
      <c r="K600" s="83"/>
    </row>
    <row r="601" ht="15.75" customHeight="1">
      <c r="A601" s="87"/>
      <c r="B601" s="87"/>
      <c r="C601" s="87"/>
      <c r="D601" s="88"/>
      <c r="E601" s="89"/>
      <c r="F601" s="87"/>
      <c r="G601" s="90"/>
      <c r="H601" s="87"/>
      <c r="I601" s="87"/>
      <c r="J601" s="87"/>
      <c r="K601" s="87"/>
    </row>
    <row r="602" ht="15.75" customHeight="1">
      <c r="A602" s="83"/>
      <c r="B602" s="83"/>
      <c r="C602" s="83"/>
      <c r="D602" s="84"/>
      <c r="E602" s="85"/>
      <c r="F602" s="83"/>
      <c r="G602" s="86"/>
      <c r="H602" s="83"/>
      <c r="I602" s="83"/>
      <c r="J602" s="83"/>
      <c r="K602" s="83"/>
    </row>
    <row r="603" ht="15.75" customHeight="1">
      <c r="A603" s="87"/>
      <c r="B603" s="87"/>
      <c r="C603" s="87"/>
      <c r="D603" s="88"/>
      <c r="E603" s="89"/>
      <c r="F603" s="87"/>
      <c r="G603" s="90"/>
      <c r="H603" s="87"/>
      <c r="I603" s="87"/>
      <c r="J603" s="87"/>
      <c r="K603" s="87"/>
    </row>
    <row r="604" ht="15.75" customHeight="1">
      <c r="A604" s="83"/>
      <c r="B604" s="83"/>
      <c r="C604" s="83"/>
      <c r="D604" s="84"/>
      <c r="E604" s="85"/>
      <c r="F604" s="83"/>
      <c r="G604" s="86"/>
      <c r="H604" s="83"/>
      <c r="I604" s="83"/>
      <c r="J604" s="83"/>
      <c r="K604" s="83"/>
    </row>
    <row r="605" ht="15.75" customHeight="1">
      <c r="A605" s="87"/>
      <c r="B605" s="87"/>
      <c r="C605" s="87"/>
      <c r="D605" s="88"/>
      <c r="E605" s="89"/>
      <c r="F605" s="87"/>
      <c r="G605" s="90"/>
      <c r="H605" s="87"/>
      <c r="I605" s="87"/>
      <c r="J605" s="87"/>
      <c r="K605" s="87"/>
    </row>
    <row r="606" ht="15.75" customHeight="1">
      <c r="A606" s="83"/>
      <c r="B606" s="83"/>
      <c r="C606" s="83"/>
      <c r="D606" s="84"/>
      <c r="E606" s="85"/>
      <c r="F606" s="83"/>
      <c r="G606" s="86"/>
      <c r="H606" s="83"/>
      <c r="I606" s="83"/>
      <c r="J606" s="83"/>
      <c r="K606" s="83"/>
    </row>
    <row r="607" ht="15.75" customHeight="1">
      <c r="A607" s="87"/>
      <c r="B607" s="87"/>
      <c r="C607" s="87"/>
      <c r="D607" s="88"/>
      <c r="E607" s="89"/>
      <c r="F607" s="87"/>
      <c r="G607" s="90"/>
      <c r="H607" s="87"/>
      <c r="I607" s="87"/>
      <c r="J607" s="87"/>
      <c r="K607" s="87"/>
    </row>
    <row r="608" ht="15.75" customHeight="1">
      <c r="A608" s="83"/>
      <c r="B608" s="83"/>
      <c r="C608" s="83"/>
      <c r="D608" s="84"/>
      <c r="E608" s="85"/>
      <c r="F608" s="83"/>
      <c r="G608" s="86"/>
      <c r="H608" s="83"/>
      <c r="I608" s="83"/>
      <c r="J608" s="83"/>
      <c r="K608" s="83"/>
    </row>
    <row r="609" ht="15.75" customHeight="1">
      <c r="A609" s="87"/>
      <c r="B609" s="87"/>
      <c r="C609" s="87"/>
      <c r="D609" s="88"/>
      <c r="E609" s="89"/>
      <c r="F609" s="87"/>
      <c r="G609" s="90"/>
      <c r="H609" s="87"/>
      <c r="I609" s="87"/>
      <c r="J609" s="87"/>
      <c r="K609" s="87"/>
    </row>
    <row r="610" ht="15.75" customHeight="1">
      <c r="A610" s="83"/>
      <c r="B610" s="83"/>
      <c r="C610" s="83"/>
      <c r="D610" s="84"/>
      <c r="E610" s="85"/>
      <c r="F610" s="83"/>
      <c r="G610" s="86"/>
      <c r="H610" s="83"/>
      <c r="I610" s="83"/>
      <c r="J610" s="83"/>
      <c r="K610" s="83"/>
    </row>
    <row r="611" ht="15.75" customHeight="1">
      <c r="A611" s="87"/>
      <c r="B611" s="87"/>
      <c r="C611" s="87"/>
      <c r="D611" s="88"/>
      <c r="E611" s="89"/>
      <c r="F611" s="87"/>
      <c r="G611" s="90"/>
      <c r="H611" s="87"/>
      <c r="I611" s="87"/>
      <c r="J611" s="87"/>
      <c r="K611" s="87"/>
    </row>
    <row r="612" ht="15.75" customHeight="1">
      <c r="A612" s="83"/>
      <c r="B612" s="83"/>
      <c r="C612" s="83"/>
      <c r="D612" s="84"/>
      <c r="E612" s="85"/>
      <c r="F612" s="83"/>
      <c r="G612" s="86"/>
      <c r="H612" s="83"/>
      <c r="I612" s="83"/>
      <c r="J612" s="83"/>
      <c r="K612" s="83"/>
    </row>
    <row r="613" ht="15.75" customHeight="1">
      <c r="A613" s="87"/>
      <c r="B613" s="87"/>
      <c r="C613" s="87"/>
      <c r="D613" s="88"/>
      <c r="E613" s="89"/>
      <c r="F613" s="87"/>
      <c r="G613" s="90"/>
      <c r="H613" s="87"/>
      <c r="I613" s="87"/>
      <c r="J613" s="87"/>
      <c r="K613" s="87"/>
    </row>
    <row r="614" ht="15.75" customHeight="1">
      <c r="A614" s="83"/>
      <c r="B614" s="83"/>
      <c r="C614" s="83"/>
      <c r="D614" s="84"/>
      <c r="E614" s="85"/>
      <c r="F614" s="83"/>
      <c r="G614" s="86"/>
      <c r="H614" s="83"/>
      <c r="I614" s="83"/>
      <c r="J614" s="83"/>
      <c r="K614" s="83"/>
    </row>
    <row r="615" ht="15.75" customHeight="1">
      <c r="A615" s="87"/>
      <c r="B615" s="87"/>
      <c r="C615" s="87"/>
      <c r="D615" s="88"/>
      <c r="E615" s="89"/>
      <c r="F615" s="87"/>
      <c r="G615" s="90"/>
      <c r="H615" s="87"/>
      <c r="I615" s="87"/>
      <c r="J615" s="87"/>
      <c r="K615" s="87"/>
    </row>
    <row r="616" ht="15.75" customHeight="1">
      <c r="A616" s="83"/>
      <c r="B616" s="83"/>
      <c r="C616" s="83"/>
      <c r="D616" s="84"/>
      <c r="E616" s="85"/>
      <c r="F616" s="83"/>
      <c r="G616" s="86"/>
      <c r="H616" s="83"/>
      <c r="I616" s="83"/>
      <c r="J616" s="83"/>
      <c r="K616" s="83"/>
    </row>
    <row r="617" ht="15.75" customHeight="1">
      <c r="A617" s="87"/>
      <c r="B617" s="87"/>
      <c r="C617" s="87"/>
      <c r="D617" s="88"/>
      <c r="E617" s="89"/>
      <c r="F617" s="87"/>
      <c r="G617" s="90"/>
      <c r="H617" s="87"/>
      <c r="I617" s="87"/>
      <c r="J617" s="87"/>
      <c r="K617" s="87"/>
    </row>
    <row r="618" ht="15.75" customHeight="1">
      <c r="A618" s="83"/>
      <c r="B618" s="83"/>
      <c r="C618" s="83"/>
      <c r="D618" s="84"/>
      <c r="E618" s="85"/>
      <c r="F618" s="83"/>
      <c r="G618" s="86"/>
      <c r="H618" s="83"/>
      <c r="I618" s="83"/>
      <c r="J618" s="83"/>
      <c r="K618" s="83"/>
    </row>
    <row r="619" ht="15.75" customHeight="1">
      <c r="A619" s="87"/>
      <c r="B619" s="87"/>
      <c r="C619" s="87"/>
      <c r="D619" s="88"/>
      <c r="E619" s="89"/>
      <c r="F619" s="87"/>
      <c r="G619" s="90"/>
      <c r="H619" s="87"/>
      <c r="I619" s="87"/>
      <c r="J619" s="87"/>
      <c r="K619" s="87"/>
    </row>
    <row r="620" ht="15.75" customHeight="1">
      <c r="A620" s="83"/>
      <c r="B620" s="83"/>
      <c r="C620" s="83"/>
      <c r="D620" s="84"/>
      <c r="E620" s="85"/>
      <c r="F620" s="83"/>
      <c r="G620" s="86"/>
      <c r="H620" s="83"/>
      <c r="I620" s="83"/>
      <c r="J620" s="83"/>
      <c r="K620" s="83"/>
    </row>
    <row r="621" ht="15.75" customHeight="1">
      <c r="A621" s="87"/>
      <c r="B621" s="87"/>
      <c r="C621" s="87"/>
      <c r="D621" s="88"/>
      <c r="E621" s="89"/>
      <c r="F621" s="87"/>
      <c r="G621" s="90"/>
      <c r="H621" s="87"/>
      <c r="I621" s="87"/>
      <c r="J621" s="87"/>
      <c r="K621" s="87"/>
    </row>
    <row r="622" ht="15.75" customHeight="1">
      <c r="A622" s="83"/>
      <c r="B622" s="83"/>
      <c r="C622" s="83"/>
      <c r="D622" s="84"/>
      <c r="E622" s="85"/>
      <c r="F622" s="83"/>
      <c r="G622" s="86"/>
      <c r="H622" s="83"/>
      <c r="I622" s="83"/>
      <c r="J622" s="83"/>
      <c r="K622" s="83"/>
    </row>
    <row r="623" ht="15.75" customHeight="1">
      <c r="A623" s="87"/>
      <c r="B623" s="87"/>
      <c r="C623" s="87"/>
      <c r="D623" s="88"/>
      <c r="E623" s="89"/>
      <c r="F623" s="87"/>
      <c r="G623" s="90"/>
      <c r="H623" s="87"/>
      <c r="I623" s="87"/>
      <c r="J623" s="87"/>
      <c r="K623" s="87"/>
    </row>
    <row r="624" ht="15.75" customHeight="1">
      <c r="A624" s="83"/>
      <c r="B624" s="83"/>
      <c r="C624" s="83"/>
      <c r="D624" s="84"/>
      <c r="E624" s="85"/>
      <c r="F624" s="83"/>
      <c r="G624" s="86"/>
      <c r="H624" s="83"/>
      <c r="I624" s="83"/>
      <c r="J624" s="83"/>
      <c r="K624" s="83"/>
    </row>
    <row r="625" ht="15.75" customHeight="1">
      <c r="A625" s="87"/>
      <c r="B625" s="87"/>
      <c r="C625" s="87"/>
      <c r="D625" s="88"/>
      <c r="E625" s="89"/>
      <c r="F625" s="87"/>
      <c r="G625" s="90"/>
      <c r="H625" s="87"/>
      <c r="I625" s="87"/>
      <c r="J625" s="87"/>
      <c r="K625" s="87"/>
    </row>
    <row r="626" ht="15.75" customHeight="1">
      <c r="A626" s="83"/>
      <c r="B626" s="83"/>
      <c r="C626" s="83"/>
      <c r="D626" s="84"/>
      <c r="E626" s="85"/>
      <c r="F626" s="83"/>
      <c r="G626" s="86"/>
      <c r="H626" s="83"/>
      <c r="I626" s="83"/>
      <c r="J626" s="83"/>
      <c r="K626" s="83"/>
    </row>
    <row r="627" ht="15.75" customHeight="1">
      <c r="A627" s="87"/>
      <c r="B627" s="87"/>
      <c r="C627" s="87"/>
      <c r="D627" s="88"/>
      <c r="E627" s="89"/>
      <c r="F627" s="87"/>
      <c r="G627" s="90"/>
      <c r="H627" s="87"/>
      <c r="I627" s="87"/>
      <c r="J627" s="87"/>
      <c r="K627" s="87"/>
    </row>
    <row r="628" ht="15.75" customHeight="1">
      <c r="A628" s="83"/>
      <c r="B628" s="83"/>
      <c r="C628" s="83"/>
      <c r="D628" s="84"/>
      <c r="E628" s="85"/>
      <c r="F628" s="83"/>
      <c r="G628" s="86"/>
      <c r="H628" s="83"/>
      <c r="I628" s="83"/>
      <c r="J628" s="83"/>
      <c r="K628" s="83"/>
    </row>
    <row r="629" ht="15.75" customHeight="1">
      <c r="A629" s="87"/>
      <c r="B629" s="87"/>
      <c r="C629" s="87"/>
      <c r="D629" s="88"/>
      <c r="E629" s="89"/>
      <c r="F629" s="87"/>
      <c r="G629" s="90"/>
      <c r="H629" s="87"/>
      <c r="I629" s="87"/>
      <c r="J629" s="87"/>
      <c r="K629" s="87"/>
    </row>
    <row r="630" ht="15.75" customHeight="1">
      <c r="A630" s="83"/>
      <c r="B630" s="83"/>
      <c r="C630" s="83"/>
      <c r="D630" s="84"/>
      <c r="E630" s="85"/>
      <c r="F630" s="83"/>
      <c r="G630" s="86"/>
      <c r="H630" s="83"/>
      <c r="I630" s="83"/>
      <c r="J630" s="83"/>
      <c r="K630" s="83"/>
    </row>
    <row r="631" ht="15.75" customHeight="1">
      <c r="A631" s="87"/>
      <c r="B631" s="87"/>
      <c r="C631" s="87"/>
      <c r="D631" s="88"/>
      <c r="E631" s="89"/>
      <c r="F631" s="87"/>
      <c r="G631" s="90"/>
      <c r="H631" s="87"/>
      <c r="I631" s="87"/>
      <c r="J631" s="87"/>
      <c r="K631" s="87"/>
    </row>
    <row r="632" ht="15.75" customHeight="1">
      <c r="A632" s="83"/>
      <c r="B632" s="83"/>
      <c r="C632" s="83"/>
      <c r="D632" s="84"/>
      <c r="E632" s="85"/>
      <c r="F632" s="83"/>
      <c r="G632" s="86"/>
      <c r="H632" s="83"/>
      <c r="I632" s="83"/>
      <c r="J632" s="83"/>
      <c r="K632" s="83"/>
    </row>
    <row r="633" ht="15.75" customHeight="1">
      <c r="A633" s="87"/>
      <c r="B633" s="87"/>
      <c r="C633" s="87"/>
      <c r="D633" s="88"/>
      <c r="E633" s="89"/>
      <c r="F633" s="87"/>
      <c r="G633" s="90"/>
      <c r="H633" s="87"/>
      <c r="I633" s="87"/>
      <c r="J633" s="87"/>
      <c r="K633" s="87"/>
    </row>
    <row r="634" ht="15.75" customHeight="1">
      <c r="A634" s="83"/>
      <c r="B634" s="83"/>
      <c r="C634" s="83"/>
      <c r="D634" s="84"/>
      <c r="E634" s="85"/>
      <c r="F634" s="83"/>
      <c r="G634" s="86"/>
      <c r="H634" s="83"/>
      <c r="I634" s="83"/>
      <c r="J634" s="83"/>
      <c r="K634" s="83"/>
    </row>
    <row r="635" ht="15.75" customHeight="1">
      <c r="A635" s="87"/>
      <c r="B635" s="87"/>
      <c r="C635" s="87"/>
      <c r="D635" s="88"/>
      <c r="E635" s="89"/>
      <c r="F635" s="87"/>
      <c r="G635" s="90"/>
      <c r="H635" s="87"/>
      <c r="I635" s="87"/>
      <c r="J635" s="87"/>
      <c r="K635" s="87"/>
    </row>
    <row r="636" ht="15.75" customHeight="1">
      <c r="A636" s="83"/>
      <c r="B636" s="83"/>
      <c r="C636" s="83"/>
      <c r="D636" s="84"/>
      <c r="E636" s="85"/>
      <c r="F636" s="83"/>
      <c r="G636" s="86"/>
      <c r="H636" s="83"/>
      <c r="I636" s="83"/>
      <c r="J636" s="83"/>
      <c r="K636" s="83"/>
    </row>
    <row r="637" ht="15.75" customHeight="1">
      <c r="A637" s="87"/>
      <c r="B637" s="87"/>
      <c r="C637" s="87"/>
      <c r="D637" s="88"/>
      <c r="E637" s="89"/>
      <c r="F637" s="87"/>
      <c r="G637" s="90"/>
      <c r="H637" s="87"/>
      <c r="I637" s="87"/>
      <c r="J637" s="87"/>
      <c r="K637" s="87"/>
    </row>
    <row r="638" ht="15.75" customHeight="1">
      <c r="A638" s="83"/>
      <c r="B638" s="83"/>
      <c r="C638" s="83"/>
      <c r="D638" s="84"/>
      <c r="E638" s="85"/>
      <c r="F638" s="83"/>
      <c r="G638" s="86"/>
      <c r="H638" s="83"/>
      <c r="I638" s="83"/>
      <c r="J638" s="83"/>
      <c r="K638" s="83"/>
    </row>
    <row r="639" ht="15.75" customHeight="1">
      <c r="A639" s="87"/>
      <c r="B639" s="87"/>
      <c r="C639" s="87"/>
      <c r="D639" s="88"/>
      <c r="E639" s="89"/>
      <c r="F639" s="87"/>
      <c r="G639" s="90"/>
      <c r="H639" s="87"/>
      <c r="I639" s="87"/>
      <c r="J639" s="87"/>
      <c r="K639" s="87"/>
    </row>
    <row r="640" ht="15.75" customHeight="1">
      <c r="A640" s="83"/>
      <c r="B640" s="83"/>
      <c r="C640" s="83"/>
      <c r="D640" s="84"/>
      <c r="E640" s="85"/>
      <c r="F640" s="83"/>
      <c r="G640" s="86"/>
      <c r="H640" s="83"/>
      <c r="I640" s="83"/>
      <c r="J640" s="83"/>
      <c r="K640" s="83"/>
    </row>
    <row r="641" ht="15.75" customHeight="1">
      <c r="A641" s="87"/>
      <c r="B641" s="87"/>
      <c r="C641" s="87"/>
      <c r="D641" s="88"/>
      <c r="E641" s="89"/>
      <c r="F641" s="87"/>
      <c r="G641" s="90"/>
      <c r="H641" s="87"/>
      <c r="I641" s="87"/>
      <c r="J641" s="87"/>
      <c r="K641" s="87"/>
    </row>
    <row r="642" ht="15.75" customHeight="1">
      <c r="A642" s="83"/>
      <c r="B642" s="83"/>
      <c r="C642" s="83"/>
      <c r="D642" s="84"/>
      <c r="E642" s="85"/>
      <c r="F642" s="83"/>
      <c r="G642" s="86"/>
      <c r="H642" s="83"/>
      <c r="I642" s="83"/>
      <c r="J642" s="83"/>
      <c r="K642" s="83"/>
    </row>
    <row r="643" ht="15.75" customHeight="1">
      <c r="A643" s="87"/>
      <c r="B643" s="87"/>
      <c r="C643" s="87"/>
      <c r="D643" s="88"/>
      <c r="E643" s="89"/>
      <c r="F643" s="87"/>
      <c r="G643" s="90"/>
      <c r="H643" s="87"/>
      <c r="I643" s="87"/>
      <c r="J643" s="87"/>
      <c r="K643" s="87"/>
    </row>
    <row r="644" ht="15.75" customHeight="1">
      <c r="A644" s="83"/>
      <c r="B644" s="83"/>
      <c r="C644" s="83"/>
      <c r="D644" s="84"/>
      <c r="E644" s="85"/>
      <c r="F644" s="83"/>
      <c r="G644" s="86"/>
      <c r="H644" s="83"/>
      <c r="I644" s="83"/>
      <c r="J644" s="83"/>
      <c r="K644" s="83"/>
    </row>
    <row r="645" ht="15.75" customHeight="1">
      <c r="A645" s="87"/>
      <c r="B645" s="87"/>
      <c r="C645" s="87"/>
      <c r="D645" s="88"/>
      <c r="E645" s="89"/>
      <c r="F645" s="87"/>
      <c r="G645" s="90"/>
      <c r="H645" s="87"/>
      <c r="I645" s="87"/>
      <c r="J645" s="87"/>
      <c r="K645" s="87"/>
    </row>
    <row r="646" ht="15.75" customHeight="1">
      <c r="A646" s="83"/>
      <c r="B646" s="83"/>
      <c r="C646" s="83"/>
      <c r="D646" s="84"/>
      <c r="E646" s="85"/>
      <c r="F646" s="83"/>
      <c r="G646" s="86"/>
      <c r="H646" s="83"/>
      <c r="I646" s="83"/>
      <c r="J646" s="83"/>
      <c r="K646" s="83"/>
    </row>
    <row r="647" ht="15.75" customHeight="1">
      <c r="A647" s="87"/>
      <c r="B647" s="87"/>
      <c r="C647" s="87"/>
      <c r="D647" s="88"/>
      <c r="E647" s="89"/>
      <c r="F647" s="87"/>
      <c r="G647" s="90"/>
      <c r="H647" s="87"/>
      <c r="I647" s="87"/>
      <c r="J647" s="87"/>
      <c r="K647" s="87"/>
    </row>
    <row r="648" ht="15.75" customHeight="1">
      <c r="A648" s="83"/>
      <c r="B648" s="83"/>
      <c r="C648" s="83"/>
      <c r="D648" s="84"/>
      <c r="E648" s="85"/>
      <c r="F648" s="83"/>
      <c r="G648" s="86"/>
      <c r="H648" s="83"/>
      <c r="I648" s="83"/>
      <c r="J648" s="83"/>
      <c r="K648" s="83"/>
    </row>
    <row r="649" ht="15.75" customHeight="1">
      <c r="A649" s="87"/>
      <c r="B649" s="87"/>
      <c r="C649" s="87"/>
      <c r="D649" s="88"/>
      <c r="E649" s="89"/>
      <c r="F649" s="87"/>
      <c r="G649" s="90"/>
      <c r="H649" s="87"/>
      <c r="I649" s="87"/>
      <c r="J649" s="87"/>
      <c r="K649" s="87"/>
    </row>
    <row r="650" ht="15.75" customHeight="1">
      <c r="A650" s="83"/>
      <c r="B650" s="83"/>
      <c r="C650" s="83"/>
      <c r="D650" s="84"/>
      <c r="E650" s="85"/>
      <c r="F650" s="83"/>
      <c r="G650" s="86"/>
      <c r="H650" s="83"/>
      <c r="I650" s="83"/>
      <c r="J650" s="83"/>
      <c r="K650" s="83"/>
    </row>
    <row r="651" ht="15.75" customHeight="1">
      <c r="A651" s="87"/>
      <c r="B651" s="87"/>
      <c r="C651" s="87"/>
      <c r="D651" s="88"/>
      <c r="E651" s="89"/>
      <c r="F651" s="87"/>
      <c r="G651" s="90"/>
      <c r="H651" s="87"/>
      <c r="I651" s="87"/>
      <c r="J651" s="87"/>
      <c r="K651" s="87"/>
    </row>
    <row r="652" ht="15.75" customHeight="1">
      <c r="A652" s="83"/>
      <c r="B652" s="83"/>
      <c r="C652" s="83"/>
      <c r="D652" s="84"/>
      <c r="E652" s="85"/>
      <c r="F652" s="83"/>
      <c r="G652" s="86"/>
      <c r="H652" s="83"/>
      <c r="I652" s="83"/>
      <c r="J652" s="83"/>
      <c r="K652" s="83"/>
    </row>
    <row r="653" ht="15.75" customHeight="1">
      <c r="A653" s="87"/>
      <c r="B653" s="87"/>
      <c r="C653" s="87"/>
      <c r="D653" s="88"/>
      <c r="E653" s="89"/>
      <c r="F653" s="87"/>
      <c r="G653" s="90"/>
      <c r="H653" s="87"/>
      <c r="I653" s="87"/>
      <c r="J653" s="87"/>
      <c r="K653" s="87"/>
    </row>
    <row r="654" ht="15.75" customHeight="1">
      <c r="A654" s="83"/>
      <c r="B654" s="83"/>
      <c r="C654" s="83"/>
      <c r="D654" s="84"/>
      <c r="E654" s="85"/>
      <c r="F654" s="83"/>
      <c r="G654" s="86"/>
      <c r="H654" s="83"/>
      <c r="I654" s="83"/>
      <c r="J654" s="83"/>
      <c r="K654" s="83"/>
    </row>
    <row r="655" ht="15.75" customHeight="1">
      <c r="A655" s="87"/>
      <c r="B655" s="87"/>
      <c r="C655" s="87"/>
      <c r="D655" s="88"/>
      <c r="E655" s="89"/>
      <c r="F655" s="87"/>
      <c r="G655" s="90"/>
      <c r="H655" s="87"/>
      <c r="I655" s="87"/>
      <c r="J655" s="87"/>
      <c r="K655" s="87"/>
    </row>
    <row r="656" ht="15.75" customHeight="1">
      <c r="A656" s="83"/>
      <c r="B656" s="83"/>
      <c r="C656" s="83"/>
      <c r="D656" s="84"/>
      <c r="E656" s="85"/>
      <c r="F656" s="83"/>
      <c r="G656" s="86"/>
      <c r="H656" s="83"/>
      <c r="I656" s="83"/>
      <c r="J656" s="83"/>
      <c r="K656" s="83"/>
    </row>
    <row r="657" ht="15.75" customHeight="1">
      <c r="A657" s="87"/>
      <c r="B657" s="87"/>
      <c r="C657" s="87"/>
      <c r="D657" s="88"/>
      <c r="E657" s="89"/>
      <c r="F657" s="87"/>
      <c r="G657" s="90"/>
      <c r="H657" s="87"/>
      <c r="I657" s="87"/>
      <c r="J657" s="87"/>
      <c r="K657" s="87"/>
    </row>
    <row r="658" ht="15.75" customHeight="1">
      <c r="A658" s="83"/>
      <c r="B658" s="83"/>
      <c r="C658" s="83"/>
      <c r="D658" s="84"/>
      <c r="E658" s="85"/>
      <c r="F658" s="83"/>
      <c r="G658" s="86"/>
      <c r="H658" s="83"/>
      <c r="I658" s="83"/>
      <c r="J658" s="83"/>
      <c r="K658" s="83"/>
    </row>
    <row r="659" ht="15.75" customHeight="1">
      <c r="A659" s="87"/>
      <c r="B659" s="87"/>
      <c r="C659" s="87"/>
      <c r="D659" s="88"/>
      <c r="E659" s="89"/>
      <c r="F659" s="87"/>
      <c r="G659" s="90"/>
      <c r="H659" s="87"/>
      <c r="I659" s="87"/>
      <c r="J659" s="87"/>
      <c r="K659" s="87"/>
    </row>
    <row r="660" ht="15.75" customHeight="1">
      <c r="A660" s="83"/>
      <c r="B660" s="83"/>
      <c r="C660" s="83"/>
      <c r="D660" s="84"/>
      <c r="E660" s="85"/>
      <c r="F660" s="83"/>
      <c r="G660" s="86"/>
      <c r="H660" s="83"/>
      <c r="I660" s="83"/>
      <c r="J660" s="83"/>
      <c r="K660" s="83"/>
    </row>
    <row r="661" ht="15.75" customHeight="1">
      <c r="A661" s="87"/>
      <c r="B661" s="87"/>
      <c r="C661" s="87"/>
      <c r="D661" s="88"/>
      <c r="E661" s="89"/>
      <c r="F661" s="87"/>
      <c r="G661" s="90"/>
      <c r="H661" s="87"/>
      <c r="I661" s="87"/>
      <c r="J661" s="87"/>
      <c r="K661" s="87"/>
    </row>
    <row r="662" ht="15.75" customHeight="1">
      <c r="A662" s="83"/>
      <c r="B662" s="83"/>
      <c r="C662" s="83"/>
      <c r="D662" s="84"/>
      <c r="E662" s="85"/>
      <c r="F662" s="83"/>
      <c r="G662" s="86"/>
      <c r="H662" s="83"/>
      <c r="I662" s="83"/>
      <c r="J662" s="83"/>
      <c r="K662" s="83"/>
    </row>
    <row r="663" ht="15.75" customHeight="1">
      <c r="A663" s="87"/>
      <c r="B663" s="87"/>
      <c r="C663" s="87"/>
      <c r="D663" s="88"/>
      <c r="E663" s="89"/>
      <c r="F663" s="87"/>
      <c r="G663" s="90"/>
      <c r="H663" s="87"/>
      <c r="I663" s="87"/>
      <c r="J663" s="87"/>
      <c r="K663" s="87"/>
    </row>
    <row r="664" ht="15.75" customHeight="1">
      <c r="A664" s="83"/>
      <c r="B664" s="83"/>
      <c r="C664" s="83"/>
      <c r="D664" s="84"/>
      <c r="E664" s="85"/>
      <c r="F664" s="83"/>
      <c r="G664" s="86"/>
      <c r="H664" s="83"/>
      <c r="I664" s="83"/>
      <c r="J664" s="83"/>
      <c r="K664" s="83"/>
    </row>
    <row r="665" ht="15.75" customHeight="1">
      <c r="A665" s="87"/>
      <c r="B665" s="87"/>
      <c r="C665" s="87"/>
      <c r="D665" s="88"/>
      <c r="E665" s="89"/>
      <c r="F665" s="87"/>
      <c r="G665" s="90"/>
      <c r="H665" s="87"/>
      <c r="I665" s="87"/>
      <c r="J665" s="87"/>
      <c r="K665" s="87"/>
    </row>
    <row r="666" ht="15.75" customHeight="1">
      <c r="A666" s="83"/>
      <c r="B666" s="83"/>
      <c r="C666" s="83"/>
      <c r="D666" s="84"/>
      <c r="E666" s="85"/>
      <c r="F666" s="83"/>
      <c r="G666" s="86"/>
      <c r="H666" s="83"/>
      <c r="I666" s="83"/>
      <c r="J666" s="83"/>
      <c r="K666" s="83"/>
    </row>
    <row r="667" ht="15.75" customHeight="1">
      <c r="A667" s="87"/>
      <c r="B667" s="87"/>
      <c r="C667" s="87"/>
      <c r="D667" s="88"/>
      <c r="E667" s="89"/>
      <c r="F667" s="87"/>
      <c r="G667" s="90"/>
      <c r="H667" s="87"/>
      <c r="I667" s="87"/>
      <c r="J667" s="87"/>
      <c r="K667" s="87"/>
    </row>
    <row r="668" ht="15.75" customHeight="1">
      <c r="A668" s="83"/>
      <c r="B668" s="83"/>
      <c r="C668" s="83"/>
      <c r="D668" s="84"/>
      <c r="E668" s="85"/>
      <c r="F668" s="83"/>
      <c r="G668" s="86"/>
      <c r="H668" s="83"/>
      <c r="I668" s="83"/>
      <c r="J668" s="83"/>
      <c r="K668" s="83"/>
    </row>
    <row r="669" ht="15.75" customHeight="1">
      <c r="A669" s="87"/>
      <c r="B669" s="87"/>
      <c r="C669" s="87"/>
      <c r="D669" s="88"/>
      <c r="E669" s="89"/>
      <c r="F669" s="87"/>
      <c r="G669" s="90"/>
      <c r="H669" s="87"/>
      <c r="I669" s="87"/>
      <c r="J669" s="87"/>
      <c r="K669" s="87"/>
    </row>
    <row r="670" ht="15.75" customHeight="1">
      <c r="A670" s="83"/>
      <c r="B670" s="83"/>
      <c r="C670" s="83"/>
      <c r="D670" s="84"/>
      <c r="E670" s="85"/>
      <c r="F670" s="83"/>
      <c r="G670" s="86"/>
      <c r="H670" s="83"/>
      <c r="I670" s="83"/>
      <c r="J670" s="83"/>
      <c r="K670" s="83"/>
    </row>
    <row r="671" ht="15.75" customHeight="1">
      <c r="A671" s="87"/>
      <c r="B671" s="87"/>
      <c r="C671" s="87"/>
      <c r="D671" s="88"/>
      <c r="E671" s="89"/>
      <c r="F671" s="87"/>
      <c r="G671" s="90"/>
      <c r="H671" s="87"/>
      <c r="I671" s="87"/>
      <c r="J671" s="87"/>
      <c r="K671" s="87"/>
    </row>
    <row r="672" ht="15.75" customHeight="1">
      <c r="A672" s="83"/>
      <c r="B672" s="83"/>
      <c r="C672" s="83"/>
      <c r="D672" s="84"/>
      <c r="E672" s="85"/>
      <c r="F672" s="83"/>
      <c r="G672" s="86"/>
      <c r="H672" s="83"/>
      <c r="I672" s="83"/>
      <c r="J672" s="83"/>
      <c r="K672" s="83"/>
    </row>
    <row r="673" ht="15.75" customHeight="1">
      <c r="A673" s="87"/>
      <c r="B673" s="87"/>
      <c r="C673" s="87"/>
      <c r="D673" s="88"/>
      <c r="E673" s="89"/>
      <c r="F673" s="87"/>
      <c r="G673" s="90"/>
      <c r="H673" s="87"/>
      <c r="I673" s="87"/>
      <c r="J673" s="87"/>
      <c r="K673" s="87"/>
    </row>
    <row r="674" ht="15.75" customHeight="1">
      <c r="A674" s="83"/>
      <c r="B674" s="83"/>
      <c r="C674" s="83"/>
      <c r="D674" s="84"/>
      <c r="E674" s="85"/>
      <c r="F674" s="83"/>
      <c r="G674" s="86"/>
      <c r="H674" s="83"/>
      <c r="I674" s="83"/>
      <c r="J674" s="83"/>
      <c r="K674" s="83"/>
    </row>
    <row r="675" ht="15.75" customHeight="1">
      <c r="A675" s="87"/>
      <c r="B675" s="87"/>
      <c r="C675" s="87"/>
      <c r="D675" s="88"/>
      <c r="E675" s="89"/>
      <c r="F675" s="87"/>
      <c r="G675" s="90"/>
      <c r="H675" s="87"/>
      <c r="I675" s="87"/>
      <c r="J675" s="87"/>
      <c r="K675" s="87"/>
    </row>
    <row r="676" ht="15.75" customHeight="1">
      <c r="A676" s="83"/>
      <c r="B676" s="83"/>
      <c r="C676" s="83"/>
      <c r="D676" s="84"/>
      <c r="E676" s="85"/>
      <c r="F676" s="83"/>
      <c r="G676" s="86"/>
      <c r="H676" s="83"/>
      <c r="I676" s="83"/>
      <c r="J676" s="83"/>
      <c r="K676" s="83"/>
    </row>
    <row r="677" ht="15.75" customHeight="1">
      <c r="A677" s="87"/>
      <c r="B677" s="87"/>
      <c r="C677" s="87"/>
      <c r="D677" s="88"/>
      <c r="E677" s="89"/>
      <c r="F677" s="87"/>
      <c r="G677" s="90"/>
      <c r="H677" s="87"/>
      <c r="I677" s="87"/>
      <c r="J677" s="87"/>
      <c r="K677" s="87"/>
    </row>
    <row r="678" ht="15.75" customHeight="1">
      <c r="A678" s="83"/>
      <c r="B678" s="83"/>
      <c r="C678" s="83"/>
      <c r="D678" s="84"/>
      <c r="E678" s="85"/>
      <c r="F678" s="83"/>
      <c r="G678" s="86"/>
      <c r="H678" s="83"/>
      <c r="I678" s="83"/>
      <c r="J678" s="83"/>
      <c r="K678" s="83"/>
    </row>
    <row r="679" ht="15.75" customHeight="1">
      <c r="A679" s="87"/>
      <c r="B679" s="87"/>
      <c r="C679" s="87"/>
      <c r="D679" s="88"/>
      <c r="E679" s="89"/>
      <c r="F679" s="87"/>
      <c r="G679" s="90"/>
      <c r="H679" s="87"/>
      <c r="I679" s="87"/>
      <c r="J679" s="87"/>
      <c r="K679" s="87"/>
    </row>
    <row r="680" ht="15.75" customHeight="1">
      <c r="A680" s="83"/>
      <c r="B680" s="83"/>
      <c r="C680" s="83"/>
      <c r="D680" s="84"/>
      <c r="E680" s="85"/>
      <c r="F680" s="83"/>
      <c r="G680" s="86"/>
      <c r="H680" s="83"/>
      <c r="I680" s="83"/>
      <c r="J680" s="83"/>
      <c r="K680" s="83"/>
    </row>
    <row r="681" ht="15.75" customHeight="1">
      <c r="A681" s="87"/>
      <c r="B681" s="87"/>
      <c r="C681" s="87"/>
      <c r="D681" s="88"/>
      <c r="E681" s="89"/>
      <c r="F681" s="87"/>
      <c r="G681" s="90"/>
      <c r="H681" s="87"/>
      <c r="I681" s="87"/>
      <c r="J681" s="87"/>
      <c r="K681" s="87"/>
    </row>
    <row r="682" ht="15.75" customHeight="1">
      <c r="A682" s="83"/>
      <c r="B682" s="83"/>
      <c r="C682" s="83"/>
      <c r="D682" s="84"/>
      <c r="E682" s="85"/>
      <c r="F682" s="83"/>
      <c r="G682" s="86"/>
      <c r="H682" s="83"/>
      <c r="I682" s="83"/>
      <c r="J682" s="83"/>
      <c r="K682" s="83"/>
    </row>
    <row r="683" ht="15.75" customHeight="1">
      <c r="A683" s="87"/>
      <c r="B683" s="87"/>
      <c r="C683" s="87"/>
      <c r="D683" s="88"/>
      <c r="E683" s="89"/>
      <c r="F683" s="87"/>
      <c r="G683" s="90"/>
      <c r="H683" s="87"/>
      <c r="I683" s="87"/>
      <c r="J683" s="87"/>
      <c r="K683" s="87"/>
    </row>
    <row r="684" ht="15.75" customHeight="1">
      <c r="A684" s="83"/>
      <c r="B684" s="83"/>
      <c r="C684" s="83"/>
      <c r="D684" s="84"/>
      <c r="E684" s="85"/>
      <c r="F684" s="83"/>
      <c r="G684" s="86"/>
      <c r="H684" s="83"/>
      <c r="I684" s="83"/>
      <c r="J684" s="83"/>
      <c r="K684" s="83"/>
    </row>
    <row r="685" ht="15.75" customHeight="1">
      <c r="A685" s="87"/>
      <c r="B685" s="87"/>
      <c r="C685" s="87"/>
      <c r="D685" s="88"/>
      <c r="E685" s="89"/>
      <c r="F685" s="87"/>
      <c r="G685" s="90"/>
      <c r="H685" s="87"/>
      <c r="I685" s="87"/>
      <c r="J685" s="87"/>
      <c r="K685" s="87"/>
    </row>
    <row r="686" ht="15.75" customHeight="1">
      <c r="A686" s="83"/>
      <c r="B686" s="83"/>
      <c r="C686" s="83"/>
      <c r="D686" s="84"/>
      <c r="E686" s="85"/>
      <c r="F686" s="83"/>
      <c r="G686" s="86"/>
      <c r="H686" s="83"/>
      <c r="I686" s="83"/>
      <c r="J686" s="83"/>
      <c r="K686" s="83"/>
    </row>
    <row r="687" ht="15.75" customHeight="1">
      <c r="A687" s="87"/>
      <c r="B687" s="87"/>
      <c r="C687" s="87"/>
      <c r="D687" s="88"/>
      <c r="E687" s="89"/>
      <c r="F687" s="87"/>
      <c r="G687" s="90"/>
      <c r="H687" s="87"/>
      <c r="I687" s="87"/>
      <c r="J687" s="87"/>
      <c r="K687" s="87"/>
    </row>
    <row r="688" ht="15.75" customHeight="1">
      <c r="A688" s="83"/>
      <c r="B688" s="83"/>
      <c r="C688" s="83"/>
      <c r="D688" s="84"/>
      <c r="E688" s="85"/>
      <c r="F688" s="83"/>
      <c r="G688" s="86"/>
      <c r="H688" s="83"/>
      <c r="I688" s="83"/>
      <c r="J688" s="83"/>
      <c r="K688" s="83"/>
    </row>
    <row r="689" ht="15.75" customHeight="1">
      <c r="A689" s="87"/>
      <c r="B689" s="87"/>
      <c r="C689" s="87"/>
      <c r="D689" s="88"/>
      <c r="E689" s="89"/>
      <c r="F689" s="87"/>
      <c r="G689" s="90"/>
      <c r="H689" s="87"/>
      <c r="I689" s="87"/>
      <c r="J689" s="87"/>
      <c r="K689" s="87"/>
    </row>
    <row r="690" ht="15.75" customHeight="1">
      <c r="A690" s="83"/>
      <c r="B690" s="83"/>
      <c r="C690" s="83"/>
      <c r="D690" s="84"/>
      <c r="E690" s="85"/>
      <c r="F690" s="83"/>
      <c r="G690" s="86"/>
      <c r="H690" s="83"/>
      <c r="I690" s="83"/>
      <c r="J690" s="83"/>
      <c r="K690" s="83"/>
    </row>
    <row r="691" ht="15.75" customHeight="1">
      <c r="A691" s="87"/>
      <c r="B691" s="87"/>
      <c r="C691" s="87"/>
      <c r="D691" s="88"/>
      <c r="E691" s="89"/>
      <c r="F691" s="87"/>
      <c r="G691" s="90"/>
      <c r="H691" s="87"/>
      <c r="I691" s="87"/>
      <c r="J691" s="87"/>
      <c r="K691" s="87"/>
    </row>
    <row r="692" ht="15.75" customHeight="1">
      <c r="A692" s="83"/>
      <c r="B692" s="83"/>
      <c r="C692" s="83"/>
      <c r="D692" s="84"/>
      <c r="E692" s="85"/>
      <c r="F692" s="83"/>
      <c r="G692" s="86"/>
      <c r="H692" s="83"/>
      <c r="I692" s="83"/>
      <c r="J692" s="83"/>
      <c r="K692" s="83"/>
    </row>
    <row r="693" ht="15.75" customHeight="1">
      <c r="A693" s="87"/>
      <c r="B693" s="87"/>
      <c r="C693" s="87"/>
      <c r="D693" s="88"/>
      <c r="E693" s="89"/>
      <c r="F693" s="87"/>
      <c r="G693" s="90"/>
      <c r="H693" s="87"/>
      <c r="I693" s="87"/>
      <c r="J693" s="87"/>
      <c r="K693" s="87"/>
    </row>
    <row r="694" ht="15.75" customHeight="1">
      <c r="A694" s="83"/>
      <c r="B694" s="83"/>
      <c r="C694" s="83"/>
      <c r="D694" s="84"/>
      <c r="E694" s="85"/>
      <c r="F694" s="83"/>
      <c r="G694" s="86"/>
      <c r="H694" s="83"/>
      <c r="I694" s="83"/>
      <c r="J694" s="83"/>
      <c r="K694" s="83"/>
    </row>
    <row r="695" ht="15.75" customHeight="1">
      <c r="A695" s="87"/>
      <c r="B695" s="87"/>
      <c r="C695" s="87"/>
      <c r="D695" s="88"/>
      <c r="E695" s="89"/>
      <c r="F695" s="87"/>
      <c r="G695" s="90"/>
      <c r="H695" s="87"/>
      <c r="I695" s="87"/>
      <c r="J695" s="87"/>
      <c r="K695" s="87"/>
    </row>
    <row r="696" ht="15.75" customHeight="1">
      <c r="A696" s="83"/>
      <c r="B696" s="83"/>
      <c r="C696" s="83"/>
      <c r="D696" s="84"/>
      <c r="E696" s="85"/>
      <c r="F696" s="83"/>
      <c r="G696" s="86"/>
      <c r="H696" s="83"/>
      <c r="I696" s="83"/>
      <c r="J696" s="83"/>
      <c r="K696" s="83"/>
    </row>
    <row r="697" ht="15.75" customHeight="1">
      <c r="A697" s="87"/>
      <c r="B697" s="87"/>
      <c r="C697" s="87"/>
      <c r="D697" s="88"/>
      <c r="E697" s="89"/>
      <c r="F697" s="87"/>
      <c r="G697" s="90"/>
      <c r="H697" s="87"/>
      <c r="I697" s="87"/>
      <c r="J697" s="87"/>
      <c r="K697" s="87"/>
    </row>
    <row r="698" ht="15.75" customHeight="1">
      <c r="A698" s="83"/>
      <c r="B698" s="83"/>
      <c r="C698" s="83"/>
      <c r="D698" s="84"/>
      <c r="E698" s="85"/>
      <c r="F698" s="83"/>
      <c r="G698" s="86"/>
      <c r="H698" s="83"/>
      <c r="I698" s="83"/>
      <c r="J698" s="83"/>
      <c r="K698" s="83"/>
    </row>
    <row r="699" ht="15.75" customHeight="1">
      <c r="A699" s="87"/>
      <c r="B699" s="87"/>
      <c r="C699" s="87"/>
      <c r="D699" s="88"/>
      <c r="E699" s="89"/>
      <c r="F699" s="87"/>
      <c r="G699" s="90"/>
      <c r="H699" s="87"/>
      <c r="I699" s="87"/>
      <c r="J699" s="87"/>
      <c r="K699" s="87"/>
    </row>
    <row r="700" ht="15.75" customHeight="1">
      <c r="A700" s="83"/>
      <c r="B700" s="83"/>
      <c r="C700" s="83"/>
      <c r="D700" s="84"/>
      <c r="E700" s="85"/>
      <c r="F700" s="83"/>
      <c r="G700" s="86"/>
      <c r="H700" s="83"/>
      <c r="I700" s="83"/>
      <c r="J700" s="83"/>
      <c r="K700" s="83"/>
    </row>
    <row r="701" ht="15.75" customHeight="1">
      <c r="A701" s="87"/>
      <c r="B701" s="87"/>
      <c r="C701" s="87"/>
      <c r="D701" s="88"/>
      <c r="E701" s="89"/>
      <c r="F701" s="87"/>
      <c r="G701" s="90"/>
      <c r="H701" s="87"/>
      <c r="I701" s="87"/>
      <c r="J701" s="87"/>
      <c r="K701" s="87"/>
    </row>
    <row r="702" ht="15.75" customHeight="1">
      <c r="A702" s="83"/>
      <c r="B702" s="83"/>
      <c r="C702" s="83"/>
      <c r="D702" s="84"/>
      <c r="E702" s="85"/>
      <c r="F702" s="83"/>
      <c r="G702" s="86"/>
      <c r="H702" s="83"/>
      <c r="I702" s="83"/>
      <c r="J702" s="83"/>
      <c r="K702" s="83"/>
    </row>
    <row r="703" ht="15.75" customHeight="1">
      <c r="A703" s="87"/>
      <c r="B703" s="87"/>
      <c r="C703" s="87"/>
      <c r="D703" s="88"/>
      <c r="E703" s="89"/>
      <c r="F703" s="87"/>
      <c r="G703" s="90"/>
      <c r="H703" s="87"/>
      <c r="I703" s="87"/>
      <c r="J703" s="87"/>
      <c r="K703" s="87"/>
    </row>
    <row r="704" ht="15.75" customHeight="1">
      <c r="A704" s="83"/>
      <c r="B704" s="83"/>
      <c r="C704" s="83"/>
      <c r="D704" s="84"/>
      <c r="E704" s="85"/>
      <c r="F704" s="83"/>
      <c r="G704" s="86"/>
      <c r="H704" s="83"/>
      <c r="I704" s="83"/>
      <c r="J704" s="83"/>
      <c r="K704" s="83"/>
    </row>
    <row r="705" ht="15.75" customHeight="1">
      <c r="A705" s="87"/>
      <c r="B705" s="87"/>
      <c r="C705" s="87"/>
      <c r="D705" s="88"/>
      <c r="E705" s="89"/>
      <c r="F705" s="87"/>
      <c r="G705" s="90"/>
      <c r="H705" s="87"/>
      <c r="I705" s="87"/>
      <c r="J705" s="87"/>
      <c r="K705" s="87"/>
    </row>
    <row r="706" ht="15.75" customHeight="1">
      <c r="A706" s="83"/>
      <c r="B706" s="83"/>
      <c r="C706" s="83"/>
      <c r="D706" s="84"/>
      <c r="E706" s="85"/>
      <c r="F706" s="83"/>
      <c r="G706" s="86"/>
      <c r="H706" s="83"/>
      <c r="I706" s="83"/>
      <c r="J706" s="83"/>
      <c r="K706" s="83"/>
    </row>
    <row r="707" ht="15.75" customHeight="1">
      <c r="A707" s="87"/>
      <c r="B707" s="87"/>
      <c r="C707" s="87"/>
      <c r="D707" s="88"/>
      <c r="E707" s="89"/>
      <c r="F707" s="87"/>
      <c r="G707" s="90"/>
      <c r="H707" s="87"/>
      <c r="I707" s="87"/>
      <c r="J707" s="87"/>
      <c r="K707" s="87"/>
    </row>
    <row r="708" ht="15.75" customHeight="1">
      <c r="A708" s="83"/>
      <c r="B708" s="83"/>
      <c r="C708" s="83"/>
      <c r="D708" s="84"/>
      <c r="E708" s="85"/>
      <c r="F708" s="83"/>
      <c r="G708" s="86"/>
      <c r="H708" s="83"/>
      <c r="I708" s="83"/>
      <c r="J708" s="83"/>
      <c r="K708" s="83"/>
    </row>
    <row r="709" ht="15.75" customHeight="1">
      <c r="A709" s="87"/>
      <c r="B709" s="87"/>
      <c r="C709" s="87"/>
      <c r="D709" s="88"/>
      <c r="E709" s="89"/>
      <c r="F709" s="87"/>
      <c r="G709" s="90"/>
      <c r="H709" s="87"/>
      <c r="I709" s="87"/>
      <c r="J709" s="87"/>
      <c r="K709" s="87"/>
    </row>
    <row r="710" ht="15.75" customHeight="1">
      <c r="A710" s="83"/>
      <c r="B710" s="83"/>
      <c r="C710" s="83"/>
      <c r="D710" s="84"/>
      <c r="E710" s="85"/>
      <c r="F710" s="83"/>
      <c r="G710" s="86"/>
      <c r="H710" s="83"/>
      <c r="I710" s="83"/>
      <c r="J710" s="83"/>
      <c r="K710" s="83"/>
    </row>
    <row r="711" ht="15.75" customHeight="1">
      <c r="A711" s="87"/>
      <c r="B711" s="87"/>
      <c r="C711" s="87"/>
      <c r="D711" s="88"/>
      <c r="E711" s="89"/>
      <c r="F711" s="87"/>
      <c r="G711" s="90"/>
      <c r="H711" s="87"/>
      <c r="I711" s="87"/>
      <c r="J711" s="87"/>
      <c r="K711" s="87"/>
    </row>
    <row r="712" ht="15.75" customHeight="1">
      <c r="A712" s="83"/>
      <c r="B712" s="83"/>
      <c r="C712" s="83"/>
      <c r="D712" s="84"/>
      <c r="E712" s="85"/>
      <c r="F712" s="83"/>
      <c r="G712" s="86"/>
      <c r="H712" s="83"/>
      <c r="I712" s="83"/>
      <c r="J712" s="83"/>
      <c r="K712" s="83"/>
    </row>
    <row r="713" ht="15.75" customHeight="1">
      <c r="A713" s="87"/>
      <c r="B713" s="87"/>
      <c r="C713" s="87"/>
      <c r="D713" s="88"/>
      <c r="E713" s="89"/>
      <c r="F713" s="87"/>
      <c r="G713" s="90"/>
      <c r="H713" s="87"/>
      <c r="I713" s="87"/>
      <c r="J713" s="87"/>
      <c r="K713" s="87"/>
    </row>
    <row r="714" ht="15.75" customHeight="1">
      <c r="A714" s="83"/>
      <c r="B714" s="83"/>
      <c r="C714" s="83"/>
      <c r="D714" s="84"/>
      <c r="E714" s="85"/>
      <c r="F714" s="83"/>
      <c r="G714" s="86"/>
      <c r="H714" s="83"/>
      <c r="I714" s="83"/>
      <c r="J714" s="83"/>
      <c r="K714" s="83"/>
    </row>
    <row r="715" ht="15.75" customHeight="1">
      <c r="A715" s="87"/>
      <c r="B715" s="87"/>
      <c r="C715" s="87"/>
      <c r="D715" s="88"/>
      <c r="E715" s="89"/>
      <c r="F715" s="87"/>
      <c r="G715" s="90"/>
      <c r="H715" s="87"/>
      <c r="I715" s="87"/>
      <c r="J715" s="87"/>
      <c r="K715" s="87"/>
    </row>
    <row r="716" ht="15.75" customHeight="1">
      <c r="A716" s="83"/>
      <c r="B716" s="83"/>
      <c r="C716" s="83"/>
      <c r="D716" s="84"/>
      <c r="E716" s="85"/>
      <c r="F716" s="83"/>
      <c r="G716" s="86"/>
      <c r="H716" s="83"/>
      <c r="I716" s="83"/>
      <c r="J716" s="83"/>
      <c r="K716" s="83"/>
    </row>
    <row r="717" ht="15.75" customHeight="1">
      <c r="A717" s="87"/>
      <c r="B717" s="87"/>
      <c r="C717" s="87"/>
      <c r="D717" s="88"/>
      <c r="E717" s="89"/>
      <c r="F717" s="87"/>
      <c r="G717" s="90"/>
      <c r="H717" s="87"/>
      <c r="I717" s="87"/>
      <c r="J717" s="87"/>
      <c r="K717" s="87"/>
    </row>
    <row r="718" ht="15.75" customHeight="1">
      <c r="A718" s="83"/>
      <c r="B718" s="83"/>
      <c r="C718" s="83"/>
      <c r="D718" s="84"/>
      <c r="E718" s="85"/>
      <c r="F718" s="83"/>
      <c r="G718" s="86"/>
      <c r="H718" s="83"/>
      <c r="I718" s="83"/>
      <c r="J718" s="83"/>
      <c r="K718" s="83"/>
    </row>
    <row r="719" ht="15.75" customHeight="1">
      <c r="A719" s="87"/>
      <c r="B719" s="87"/>
      <c r="C719" s="87"/>
      <c r="D719" s="88"/>
      <c r="E719" s="89"/>
      <c r="F719" s="87"/>
      <c r="G719" s="90"/>
      <c r="H719" s="87"/>
      <c r="I719" s="87"/>
      <c r="J719" s="87"/>
      <c r="K719" s="87"/>
    </row>
    <row r="720" ht="15.75" customHeight="1">
      <c r="A720" s="83"/>
      <c r="B720" s="83"/>
      <c r="C720" s="83"/>
      <c r="D720" s="84"/>
      <c r="E720" s="85"/>
      <c r="F720" s="83"/>
      <c r="G720" s="86"/>
      <c r="H720" s="83"/>
      <c r="I720" s="83"/>
      <c r="J720" s="83"/>
      <c r="K720" s="83"/>
    </row>
    <row r="721" ht="15.75" customHeight="1">
      <c r="A721" s="87"/>
      <c r="B721" s="87"/>
      <c r="C721" s="87"/>
      <c r="D721" s="88"/>
      <c r="E721" s="89"/>
      <c r="F721" s="87"/>
      <c r="G721" s="90"/>
      <c r="H721" s="87"/>
      <c r="I721" s="87"/>
      <c r="J721" s="87"/>
      <c r="K721" s="87"/>
    </row>
    <row r="722" ht="15.75" customHeight="1">
      <c r="A722" s="83"/>
      <c r="B722" s="83"/>
      <c r="C722" s="83"/>
      <c r="D722" s="84"/>
      <c r="E722" s="85"/>
      <c r="F722" s="83"/>
      <c r="G722" s="86"/>
      <c r="H722" s="83"/>
      <c r="I722" s="83"/>
      <c r="J722" s="83"/>
      <c r="K722" s="83"/>
    </row>
    <row r="723" ht="15.75" customHeight="1">
      <c r="A723" s="87"/>
      <c r="B723" s="87"/>
      <c r="C723" s="87"/>
      <c r="D723" s="88"/>
      <c r="E723" s="89"/>
      <c r="F723" s="87"/>
      <c r="G723" s="90"/>
      <c r="H723" s="87"/>
      <c r="I723" s="87"/>
      <c r="J723" s="87"/>
      <c r="K723" s="87"/>
    </row>
    <row r="724" ht="15.75" customHeight="1">
      <c r="A724" s="83"/>
      <c r="B724" s="83"/>
      <c r="C724" s="83"/>
      <c r="D724" s="84"/>
      <c r="E724" s="85"/>
      <c r="F724" s="83"/>
      <c r="G724" s="86"/>
      <c r="H724" s="83"/>
      <c r="I724" s="83"/>
      <c r="J724" s="83"/>
      <c r="K724" s="83"/>
    </row>
    <row r="725" ht="15.75" customHeight="1">
      <c r="A725" s="87"/>
      <c r="B725" s="87"/>
      <c r="C725" s="87"/>
      <c r="D725" s="88"/>
      <c r="E725" s="89"/>
      <c r="F725" s="87"/>
      <c r="G725" s="90"/>
      <c r="H725" s="87"/>
      <c r="I725" s="87"/>
      <c r="J725" s="87"/>
      <c r="K725" s="87"/>
    </row>
    <row r="726" ht="15.75" customHeight="1">
      <c r="A726" s="83"/>
      <c r="B726" s="83"/>
      <c r="C726" s="83"/>
      <c r="D726" s="84"/>
      <c r="E726" s="85"/>
      <c r="F726" s="83"/>
      <c r="G726" s="86"/>
      <c r="H726" s="83"/>
      <c r="I726" s="83"/>
      <c r="J726" s="83"/>
      <c r="K726" s="83"/>
    </row>
    <row r="727" ht="15.75" customHeight="1">
      <c r="A727" s="87"/>
      <c r="B727" s="87"/>
      <c r="C727" s="87"/>
      <c r="D727" s="88"/>
      <c r="E727" s="89"/>
      <c r="F727" s="87"/>
      <c r="G727" s="90"/>
      <c r="H727" s="87"/>
      <c r="I727" s="87"/>
      <c r="J727" s="87"/>
      <c r="K727" s="87"/>
    </row>
    <row r="728" ht="15.75" customHeight="1">
      <c r="A728" s="83"/>
      <c r="B728" s="83"/>
      <c r="C728" s="83"/>
      <c r="D728" s="84"/>
      <c r="E728" s="85"/>
      <c r="F728" s="83"/>
      <c r="G728" s="86"/>
      <c r="H728" s="83"/>
      <c r="I728" s="83"/>
      <c r="J728" s="83"/>
      <c r="K728" s="83"/>
    </row>
    <row r="729" ht="15.75" customHeight="1">
      <c r="A729" s="87"/>
      <c r="B729" s="87"/>
      <c r="C729" s="87"/>
      <c r="D729" s="88"/>
      <c r="E729" s="89"/>
      <c r="F729" s="87"/>
      <c r="G729" s="90"/>
      <c r="H729" s="87"/>
      <c r="I729" s="87"/>
      <c r="J729" s="87"/>
      <c r="K729" s="87"/>
    </row>
    <row r="730" ht="15.75" customHeight="1">
      <c r="A730" s="83"/>
      <c r="B730" s="83"/>
      <c r="C730" s="83"/>
      <c r="D730" s="84"/>
      <c r="E730" s="85"/>
      <c r="F730" s="83"/>
      <c r="G730" s="86"/>
      <c r="H730" s="83"/>
      <c r="I730" s="83"/>
      <c r="J730" s="83"/>
      <c r="K730" s="83"/>
    </row>
    <row r="731" ht="15.75" customHeight="1">
      <c r="A731" s="87"/>
      <c r="B731" s="87"/>
      <c r="C731" s="87"/>
      <c r="D731" s="88"/>
      <c r="E731" s="89"/>
      <c r="F731" s="87"/>
      <c r="G731" s="90"/>
      <c r="H731" s="87"/>
      <c r="I731" s="87"/>
      <c r="J731" s="87"/>
      <c r="K731" s="87"/>
    </row>
    <row r="732" ht="15.75" customHeight="1">
      <c r="A732" s="83"/>
      <c r="B732" s="83"/>
      <c r="C732" s="83"/>
      <c r="D732" s="84"/>
      <c r="E732" s="85"/>
      <c r="F732" s="83"/>
      <c r="G732" s="86"/>
      <c r="H732" s="83"/>
      <c r="I732" s="83"/>
      <c r="J732" s="83"/>
      <c r="K732" s="83"/>
    </row>
    <row r="733" ht="15.75" customHeight="1">
      <c r="A733" s="87"/>
      <c r="B733" s="87"/>
      <c r="C733" s="87"/>
      <c r="D733" s="88"/>
      <c r="E733" s="89"/>
      <c r="F733" s="87"/>
      <c r="G733" s="90"/>
      <c r="H733" s="87"/>
      <c r="I733" s="87"/>
      <c r="J733" s="87"/>
      <c r="K733" s="87"/>
    </row>
    <row r="734" ht="15.75" customHeight="1">
      <c r="A734" s="83"/>
      <c r="B734" s="83"/>
      <c r="C734" s="83"/>
      <c r="D734" s="84"/>
      <c r="E734" s="85"/>
      <c r="F734" s="83"/>
      <c r="G734" s="86"/>
      <c r="H734" s="83"/>
      <c r="I734" s="83"/>
      <c r="J734" s="83"/>
      <c r="K734" s="83"/>
    </row>
    <row r="735" ht="15.75" customHeight="1">
      <c r="A735" s="87"/>
      <c r="B735" s="87"/>
      <c r="C735" s="87"/>
      <c r="D735" s="88"/>
      <c r="E735" s="89"/>
      <c r="F735" s="87"/>
      <c r="G735" s="90"/>
      <c r="H735" s="87"/>
      <c r="I735" s="87"/>
      <c r="J735" s="87"/>
      <c r="K735" s="87"/>
    </row>
    <row r="736" ht="15.75" customHeight="1">
      <c r="A736" s="83"/>
      <c r="B736" s="83"/>
      <c r="C736" s="83"/>
      <c r="D736" s="84"/>
      <c r="E736" s="85"/>
      <c r="F736" s="83"/>
      <c r="G736" s="86"/>
      <c r="H736" s="83"/>
      <c r="I736" s="83"/>
      <c r="J736" s="83"/>
      <c r="K736" s="83"/>
    </row>
    <row r="737" ht="15.75" customHeight="1">
      <c r="A737" s="87"/>
      <c r="B737" s="87"/>
      <c r="C737" s="87"/>
      <c r="D737" s="88"/>
      <c r="E737" s="89"/>
      <c r="F737" s="87"/>
      <c r="G737" s="90"/>
      <c r="H737" s="87"/>
      <c r="I737" s="87"/>
      <c r="J737" s="87"/>
      <c r="K737" s="87"/>
    </row>
    <row r="738" ht="15.75" customHeight="1">
      <c r="A738" s="83"/>
      <c r="B738" s="83"/>
      <c r="C738" s="83"/>
      <c r="D738" s="84"/>
      <c r="E738" s="85"/>
      <c r="F738" s="83"/>
      <c r="G738" s="86"/>
      <c r="H738" s="83"/>
      <c r="I738" s="83"/>
      <c r="J738" s="83"/>
      <c r="K738" s="83"/>
    </row>
    <row r="739" ht="15.75" customHeight="1">
      <c r="A739" s="87"/>
      <c r="B739" s="87"/>
      <c r="C739" s="87"/>
      <c r="D739" s="88"/>
      <c r="E739" s="89"/>
      <c r="F739" s="87"/>
      <c r="G739" s="90"/>
      <c r="H739" s="87"/>
      <c r="I739" s="87"/>
      <c r="J739" s="87"/>
      <c r="K739" s="87"/>
    </row>
    <row r="740" ht="15.75" customHeight="1">
      <c r="A740" s="83"/>
      <c r="B740" s="83"/>
      <c r="C740" s="83"/>
      <c r="D740" s="84"/>
      <c r="E740" s="85"/>
      <c r="F740" s="83"/>
      <c r="G740" s="86"/>
      <c r="H740" s="83"/>
      <c r="I740" s="83"/>
      <c r="J740" s="83"/>
      <c r="K740" s="83"/>
    </row>
    <row r="741" ht="15.75" customHeight="1">
      <c r="A741" s="87"/>
      <c r="B741" s="87"/>
      <c r="C741" s="87"/>
      <c r="D741" s="88"/>
      <c r="E741" s="89"/>
      <c r="F741" s="87"/>
      <c r="G741" s="90"/>
      <c r="H741" s="87"/>
      <c r="I741" s="87"/>
      <c r="J741" s="87"/>
      <c r="K741" s="87"/>
    </row>
    <row r="742" ht="15.75" customHeight="1">
      <c r="A742" s="83"/>
      <c r="B742" s="83"/>
      <c r="C742" s="83"/>
      <c r="D742" s="84"/>
      <c r="E742" s="85"/>
      <c r="F742" s="83"/>
      <c r="G742" s="86"/>
      <c r="H742" s="83"/>
      <c r="I742" s="83"/>
      <c r="J742" s="83"/>
      <c r="K742" s="83"/>
    </row>
    <row r="743" ht="15.75" customHeight="1">
      <c r="A743" s="87"/>
      <c r="B743" s="87"/>
      <c r="C743" s="87"/>
      <c r="D743" s="88"/>
      <c r="E743" s="89"/>
      <c r="F743" s="87"/>
      <c r="G743" s="90"/>
      <c r="H743" s="87"/>
      <c r="I743" s="87"/>
      <c r="J743" s="87"/>
      <c r="K743" s="87"/>
    </row>
    <row r="744" ht="15.75" customHeight="1">
      <c r="A744" s="83"/>
      <c r="B744" s="83"/>
      <c r="C744" s="83"/>
      <c r="D744" s="84"/>
      <c r="E744" s="85"/>
      <c r="F744" s="83"/>
      <c r="G744" s="86"/>
      <c r="H744" s="83"/>
      <c r="I744" s="83"/>
      <c r="J744" s="83"/>
      <c r="K744" s="83"/>
    </row>
    <row r="745" ht="15.75" customHeight="1">
      <c r="A745" s="87"/>
      <c r="B745" s="87"/>
      <c r="C745" s="87"/>
      <c r="D745" s="88"/>
      <c r="E745" s="89"/>
      <c r="F745" s="87"/>
      <c r="G745" s="90"/>
      <c r="H745" s="87"/>
      <c r="I745" s="87"/>
      <c r="J745" s="87"/>
      <c r="K745" s="87"/>
    </row>
    <row r="746" ht="15.75" customHeight="1">
      <c r="A746" s="83"/>
      <c r="B746" s="83"/>
      <c r="C746" s="83"/>
      <c r="D746" s="84"/>
      <c r="E746" s="85"/>
      <c r="F746" s="83"/>
      <c r="G746" s="86"/>
      <c r="H746" s="83"/>
      <c r="I746" s="83"/>
      <c r="J746" s="83"/>
      <c r="K746" s="83"/>
    </row>
    <row r="747" ht="15.75" customHeight="1">
      <c r="A747" s="87"/>
      <c r="B747" s="87"/>
      <c r="C747" s="87"/>
      <c r="D747" s="88"/>
      <c r="E747" s="89"/>
      <c r="F747" s="87"/>
      <c r="G747" s="90"/>
      <c r="H747" s="87"/>
      <c r="I747" s="87"/>
      <c r="J747" s="87"/>
      <c r="K747" s="87"/>
    </row>
    <row r="748" ht="15.75" customHeight="1">
      <c r="A748" s="83"/>
      <c r="B748" s="83"/>
      <c r="C748" s="83"/>
      <c r="D748" s="84"/>
      <c r="E748" s="85"/>
      <c r="F748" s="83"/>
      <c r="G748" s="86"/>
      <c r="H748" s="83"/>
      <c r="I748" s="83"/>
      <c r="J748" s="83"/>
      <c r="K748" s="83"/>
    </row>
    <row r="749" ht="15.75" customHeight="1">
      <c r="A749" s="87"/>
      <c r="B749" s="87"/>
      <c r="C749" s="87"/>
      <c r="D749" s="88"/>
      <c r="E749" s="89"/>
      <c r="F749" s="87"/>
      <c r="G749" s="90"/>
      <c r="H749" s="87"/>
      <c r="I749" s="87"/>
      <c r="J749" s="87"/>
      <c r="K749" s="87"/>
    </row>
    <row r="750" ht="15.75" customHeight="1">
      <c r="A750" s="83"/>
      <c r="B750" s="83"/>
      <c r="C750" s="83"/>
      <c r="D750" s="84"/>
      <c r="E750" s="85"/>
      <c r="F750" s="83"/>
      <c r="G750" s="86"/>
      <c r="H750" s="83"/>
      <c r="I750" s="83"/>
      <c r="J750" s="83"/>
      <c r="K750" s="83"/>
    </row>
    <row r="751" ht="15.75" customHeight="1">
      <c r="A751" s="87"/>
      <c r="B751" s="87"/>
      <c r="C751" s="87"/>
      <c r="D751" s="88"/>
      <c r="E751" s="89"/>
      <c r="F751" s="87"/>
      <c r="G751" s="90"/>
      <c r="H751" s="87"/>
      <c r="I751" s="87"/>
      <c r="J751" s="87"/>
      <c r="K751" s="87"/>
    </row>
    <row r="752" ht="15.75" customHeight="1">
      <c r="A752" s="83"/>
      <c r="B752" s="83"/>
      <c r="C752" s="83"/>
      <c r="D752" s="84"/>
      <c r="E752" s="85"/>
      <c r="F752" s="83"/>
      <c r="G752" s="86"/>
      <c r="H752" s="83"/>
      <c r="I752" s="83"/>
      <c r="J752" s="83"/>
      <c r="K752" s="83"/>
    </row>
    <row r="753" ht="15.75" customHeight="1">
      <c r="A753" s="87"/>
      <c r="B753" s="87"/>
      <c r="C753" s="87"/>
      <c r="D753" s="88"/>
      <c r="E753" s="89"/>
      <c r="F753" s="87"/>
      <c r="G753" s="90"/>
      <c r="H753" s="87"/>
      <c r="I753" s="87"/>
      <c r="J753" s="87"/>
      <c r="K753" s="87"/>
    </row>
    <row r="754" ht="15.75" customHeight="1">
      <c r="A754" s="83"/>
      <c r="B754" s="83"/>
      <c r="C754" s="83"/>
      <c r="D754" s="84"/>
      <c r="E754" s="85"/>
      <c r="F754" s="83"/>
      <c r="G754" s="86"/>
      <c r="H754" s="83"/>
      <c r="I754" s="83"/>
      <c r="J754" s="83"/>
      <c r="K754" s="83"/>
    </row>
    <row r="755" ht="15.75" customHeight="1">
      <c r="A755" s="87"/>
      <c r="B755" s="87"/>
      <c r="C755" s="87"/>
      <c r="D755" s="88"/>
      <c r="E755" s="89"/>
      <c r="F755" s="87"/>
      <c r="G755" s="90"/>
      <c r="H755" s="87"/>
      <c r="I755" s="87"/>
      <c r="J755" s="87"/>
      <c r="K755" s="87"/>
    </row>
    <row r="756" ht="15.75" customHeight="1">
      <c r="A756" s="83"/>
      <c r="B756" s="83"/>
      <c r="C756" s="83"/>
      <c r="D756" s="84"/>
      <c r="E756" s="85"/>
      <c r="F756" s="83"/>
      <c r="G756" s="86"/>
      <c r="H756" s="83"/>
      <c r="I756" s="83"/>
      <c r="J756" s="83"/>
      <c r="K756" s="83"/>
    </row>
    <row r="757" ht="15.75" customHeight="1">
      <c r="A757" s="87"/>
      <c r="B757" s="87"/>
      <c r="C757" s="87"/>
      <c r="D757" s="88"/>
      <c r="E757" s="89"/>
      <c r="F757" s="87"/>
      <c r="G757" s="90"/>
      <c r="H757" s="87"/>
      <c r="I757" s="87"/>
      <c r="J757" s="87"/>
      <c r="K757" s="87"/>
    </row>
    <row r="758" ht="15.75" customHeight="1">
      <c r="A758" s="83"/>
      <c r="B758" s="83"/>
      <c r="C758" s="83"/>
      <c r="D758" s="84"/>
      <c r="E758" s="85"/>
      <c r="F758" s="83"/>
      <c r="G758" s="86"/>
      <c r="H758" s="83"/>
      <c r="I758" s="83"/>
      <c r="J758" s="83"/>
      <c r="K758" s="83"/>
    </row>
    <row r="759" ht="15.75" customHeight="1">
      <c r="A759" s="87"/>
      <c r="B759" s="87"/>
      <c r="C759" s="87"/>
      <c r="D759" s="88"/>
      <c r="E759" s="89"/>
      <c r="F759" s="87"/>
      <c r="G759" s="90"/>
      <c r="H759" s="87"/>
      <c r="I759" s="87"/>
      <c r="J759" s="87"/>
      <c r="K759" s="87"/>
    </row>
    <row r="760" ht="15.75" customHeight="1">
      <c r="A760" s="83"/>
      <c r="B760" s="83"/>
      <c r="C760" s="83"/>
      <c r="D760" s="84"/>
      <c r="E760" s="85"/>
      <c r="F760" s="83"/>
      <c r="G760" s="86"/>
      <c r="H760" s="83"/>
      <c r="I760" s="83"/>
      <c r="J760" s="83"/>
      <c r="K760" s="83"/>
    </row>
    <row r="761" ht="15.75" customHeight="1">
      <c r="A761" s="87"/>
      <c r="B761" s="87"/>
      <c r="C761" s="87"/>
      <c r="D761" s="88"/>
      <c r="E761" s="89"/>
      <c r="F761" s="87"/>
      <c r="G761" s="90"/>
      <c r="H761" s="87"/>
      <c r="I761" s="87"/>
      <c r="J761" s="87"/>
      <c r="K761" s="87"/>
    </row>
    <row r="762" ht="15.75" customHeight="1">
      <c r="A762" s="83"/>
      <c r="B762" s="83"/>
      <c r="C762" s="83"/>
      <c r="D762" s="84"/>
      <c r="E762" s="85"/>
      <c r="F762" s="83"/>
      <c r="G762" s="86"/>
      <c r="H762" s="83"/>
      <c r="I762" s="83"/>
      <c r="J762" s="83"/>
      <c r="K762" s="83"/>
    </row>
    <row r="763" ht="15.75" customHeight="1">
      <c r="A763" s="87"/>
      <c r="B763" s="87"/>
      <c r="C763" s="87"/>
      <c r="D763" s="88"/>
      <c r="E763" s="89"/>
      <c r="F763" s="87"/>
      <c r="G763" s="90"/>
      <c r="H763" s="87"/>
      <c r="I763" s="87"/>
      <c r="J763" s="87"/>
      <c r="K763" s="87"/>
    </row>
    <row r="764" ht="15.75" customHeight="1">
      <c r="A764" s="83"/>
      <c r="B764" s="83"/>
      <c r="C764" s="83"/>
      <c r="D764" s="84"/>
      <c r="E764" s="85"/>
      <c r="F764" s="83"/>
      <c r="G764" s="86"/>
      <c r="H764" s="83"/>
      <c r="I764" s="83"/>
      <c r="J764" s="83"/>
      <c r="K764" s="83"/>
    </row>
    <row r="765" ht="15.75" customHeight="1">
      <c r="A765" s="87"/>
      <c r="B765" s="87"/>
      <c r="C765" s="87"/>
      <c r="D765" s="88"/>
      <c r="E765" s="89"/>
      <c r="F765" s="87"/>
      <c r="G765" s="90"/>
      <c r="H765" s="87"/>
      <c r="I765" s="87"/>
      <c r="J765" s="87"/>
      <c r="K765" s="87"/>
    </row>
    <row r="766" ht="15.75" customHeight="1">
      <c r="A766" s="83"/>
      <c r="B766" s="83"/>
      <c r="C766" s="83"/>
      <c r="D766" s="84"/>
      <c r="E766" s="85"/>
      <c r="F766" s="83"/>
      <c r="G766" s="86"/>
      <c r="H766" s="83"/>
      <c r="I766" s="83"/>
      <c r="J766" s="83"/>
      <c r="K766" s="83"/>
    </row>
    <row r="767" ht="15.75" customHeight="1">
      <c r="A767" s="87"/>
      <c r="B767" s="87"/>
      <c r="C767" s="87"/>
      <c r="D767" s="88"/>
      <c r="E767" s="89"/>
      <c r="F767" s="87"/>
      <c r="G767" s="90"/>
      <c r="H767" s="87"/>
      <c r="I767" s="87"/>
      <c r="J767" s="87"/>
      <c r="K767" s="87"/>
    </row>
    <row r="768" ht="15.75" customHeight="1">
      <c r="A768" s="83"/>
      <c r="B768" s="83"/>
      <c r="C768" s="83"/>
      <c r="D768" s="84"/>
      <c r="E768" s="85"/>
      <c r="F768" s="83"/>
      <c r="G768" s="86"/>
      <c r="H768" s="83"/>
      <c r="I768" s="83"/>
      <c r="J768" s="83"/>
      <c r="K768" s="83"/>
    </row>
    <row r="769" ht="15.75" customHeight="1">
      <c r="A769" s="87"/>
      <c r="B769" s="87"/>
      <c r="C769" s="87"/>
      <c r="D769" s="88"/>
      <c r="E769" s="89"/>
      <c r="F769" s="87"/>
      <c r="G769" s="90"/>
      <c r="H769" s="87"/>
      <c r="I769" s="87"/>
      <c r="J769" s="87"/>
      <c r="K769" s="87"/>
    </row>
    <row r="770" ht="15.75" customHeight="1">
      <c r="A770" s="83"/>
      <c r="B770" s="83"/>
      <c r="C770" s="83"/>
      <c r="D770" s="84"/>
      <c r="E770" s="85"/>
      <c r="F770" s="83"/>
      <c r="G770" s="86"/>
      <c r="H770" s="83"/>
      <c r="I770" s="83"/>
      <c r="J770" s="83"/>
      <c r="K770" s="83"/>
    </row>
    <row r="771" ht="15.75" customHeight="1">
      <c r="A771" s="87"/>
      <c r="B771" s="87"/>
      <c r="C771" s="87"/>
      <c r="D771" s="88"/>
      <c r="E771" s="89"/>
      <c r="F771" s="87"/>
      <c r="G771" s="90"/>
      <c r="H771" s="87"/>
      <c r="I771" s="87"/>
      <c r="J771" s="87"/>
      <c r="K771" s="87"/>
    </row>
    <row r="772" ht="15.75" customHeight="1">
      <c r="A772" s="83"/>
      <c r="B772" s="83"/>
      <c r="C772" s="83"/>
      <c r="D772" s="84"/>
      <c r="E772" s="85"/>
      <c r="F772" s="83"/>
      <c r="G772" s="86"/>
      <c r="H772" s="83"/>
      <c r="I772" s="83"/>
      <c r="J772" s="83"/>
      <c r="K772" s="83"/>
    </row>
    <row r="773" ht="15.75" customHeight="1">
      <c r="A773" s="87"/>
      <c r="B773" s="87"/>
      <c r="C773" s="87"/>
      <c r="D773" s="88"/>
      <c r="E773" s="89"/>
      <c r="F773" s="87"/>
      <c r="G773" s="90"/>
      <c r="H773" s="87"/>
      <c r="I773" s="87"/>
      <c r="J773" s="87"/>
      <c r="K773" s="87"/>
    </row>
    <row r="774" ht="15.75" customHeight="1">
      <c r="A774" s="83"/>
      <c r="B774" s="83"/>
      <c r="C774" s="83"/>
      <c r="D774" s="84"/>
      <c r="E774" s="85"/>
      <c r="F774" s="83"/>
      <c r="G774" s="86"/>
      <c r="H774" s="83"/>
      <c r="I774" s="83"/>
      <c r="J774" s="83"/>
      <c r="K774" s="83"/>
    </row>
    <row r="775" ht="15.75" customHeight="1">
      <c r="A775" s="87"/>
      <c r="B775" s="87"/>
      <c r="C775" s="87"/>
      <c r="D775" s="88"/>
      <c r="E775" s="89"/>
      <c r="F775" s="87"/>
      <c r="G775" s="90"/>
      <c r="H775" s="87"/>
      <c r="I775" s="87"/>
      <c r="J775" s="87"/>
      <c r="K775" s="87"/>
    </row>
    <row r="776" ht="15.75" customHeight="1">
      <c r="A776" s="83"/>
      <c r="B776" s="83"/>
      <c r="C776" s="83"/>
      <c r="D776" s="84"/>
      <c r="E776" s="85"/>
      <c r="F776" s="83"/>
      <c r="G776" s="86"/>
      <c r="H776" s="83"/>
      <c r="I776" s="83"/>
      <c r="J776" s="83"/>
      <c r="K776" s="83"/>
    </row>
    <row r="777" ht="15.75" customHeight="1">
      <c r="A777" s="87"/>
      <c r="B777" s="87"/>
      <c r="C777" s="87"/>
      <c r="D777" s="88"/>
      <c r="E777" s="89"/>
      <c r="F777" s="87"/>
      <c r="G777" s="90"/>
      <c r="H777" s="87"/>
      <c r="I777" s="87"/>
      <c r="J777" s="87"/>
      <c r="K777" s="87"/>
    </row>
    <row r="778" ht="15.75" customHeight="1">
      <c r="A778" s="83"/>
      <c r="B778" s="83"/>
      <c r="C778" s="83"/>
      <c r="D778" s="84"/>
      <c r="E778" s="85"/>
      <c r="F778" s="83"/>
      <c r="G778" s="86"/>
      <c r="H778" s="83"/>
      <c r="I778" s="83"/>
      <c r="J778" s="83"/>
      <c r="K778" s="83"/>
    </row>
    <row r="779" ht="15.75" customHeight="1">
      <c r="A779" s="87"/>
      <c r="B779" s="87"/>
      <c r="C779" s="87"/>
      <c r="D779" s="88"/>
      <c r="E779" s="89"/>
      <c r="F779" s="87"/>
      <c r="G779" s="90"/>
      <c r="H779" s="87"/>
      <c r="I779" s="87"/>
      <c r="J779" s="87"/>
      <c r="K779" s="87"/>
    </row>
    <row r="780" ht="15.75" customHeight="1">
      <c r="A780" s="83"/>
      <c r="B780" s="83"/>
      <c r="C780" s="83"/>
      <c r="D780" s="84"/>
      <c r="E780" s="85"/>
      <c r="F780" s="83"/>
      <c r="G780" s="86"/>
      <c r="H780" s="83"/>
      <c r="I780" s="83"/>
      <c r="J780" s="83"/>
      <c r="K780" s="83"/>
    </row>
    <row r="781" ht="15.75" customHeight="1">
      <c r="A781" s="87"/>
      <c r="B781" s="87"/>
      <c r="C781" s="87"/>
      <c r="D781" s="88"/>
      <c r="E781" s="89"/>
      <c r="F781" s="87"/>
      <c r="G781" s="90"/>
      <c r="H781" s="87"/>
      <c r="I781" s="87"/>
      <c r="J781" s="87"/>
      <c r="K781" s="87"/>
    </row>
    <row r="782" ht="15.75" customHeight="1">
      <c r="A782" s="83"/>
      <c r="B782" s="83"/>
      <c r="C782" s="83"/>
      <c r="D782" s="84"/>
      <c r="E782" s="85"/>
      <c r="F782" s="83"/>
      <c r="G782" s="86"/>
      <c r="H782" s="83"/>
      <c r="I782" s="83"/>
      <c r="J782" s="83"/>
      <c r="K782" s="83"/>
    </row>
    <row r="783" ht="15.75" customHeight="1">
      <c r="A783" s="87"/>
      <c r="B783" s="87"/>
      <c r="C783" s="87"/>
      <c r="D783" s="88"/>
      <c r="E783" s="89"/>
      <c r="F783" s="87"/>
      <c r="G783" s="90"/>
      <c r="H783" s="87"/>
      <c r="I783" s="87"/>
      <c r="J783" s="87"/>
      <c r="K783" s="87"/>
    </row>
    <row r="784" ht="15.75" customHeight="1">
      <c r="A784" s="83"/>
      <c r="B784" s="83"/>
      <c r="C784" s="83"/>
      <c r="D784" s="84"/>
      <c r="E784" s="85"/>
      <c r="F784" s="83"/>
      <c r="G784" s="86"/>
      <c r="H784" s="83"/>
      <c r="I784" s="83"/>
      <c r="J784" s="83"/>
      <c r="K784" s="83"/>
    </row>
    <row r="785" ht="15.75" customHeight="1">
      <c r="A785" s="87"/>
      <c r="B785" s="87"/>
      <c r="C785" s="87"/>
      <c r="D785" s="88"/>
      <c r="E785" s="89"/>
      <c r="F785" s="87"/>
      <c r="G785" s="90"/>
      <c r="H785" s="87"/>
      <c r="I785" s="87"/>
      <c r="J785" s="87"/>
      <c r="K785" s="87"/>
    </row>
    <row r="786" ht="15.75" customHeight="1">
      <c r="A786" s="83"/>
      <c r="B786" s="83"/>
      <c r="C786" s="83"/>
      <c r="D786" s="84"/>
      <c r="E786" s="85"/>
      <c r="F786" s="83"/>
      <c r="G786" s="86"/>
      <c r="H786" s="83"/>
      <c r="I786" s="83"/>
      <c r="J786" s="83"/>
      <c r="K786" s="83"/>
    </row>
    <row r="787" ht="15.75" customHeight="1">
      <c r="A787" s="87"/>
      <c r="B787" s="87"/>
      <c r="C787" s="87"/>
      <c r="D787" s="88"/>
      <c r="E787" s="89"/>
      <c r="F787" s="87"/>
      <c r="G787" s="90"/>
      <c r="H787" s="87"/>
      <c r="I787" s="87"/>
      <c r="J787" s="87"/>
      <c r="K787" s="87"/>
    </row>
    <row r="788" ht="15.75" customHeight="1">
      <c r="A788" s="83"/>
      <c r="B788" s="83"/>
      <c r="C788" s="83"/>
      <c r="D788" s="84"/>
      <c r="E788" s="85"/>
      <c r="F788" s="83"/>
      <c r="G788" s="86"/>
      <c r="H788" s="83"/>
      <c r="I788" s="83"/>
      <c r="J788" s="83"/>
      <c r="K788" s="83"/>
    </row>
    <row r="789" ht="15.75" customHeight="1">
      <c r="A789" s="87"/>
      <c r="B789" s="87"/>
      <c r="C789" s="87"/>
      <c r="D789" s="88"/>
      <c r="E789" s="89"/>
      <c r="F789" s="87"/>
      <c r="G789" s="90"/>
      <c r="H789" s="87"/>
      <c r="I789" s="87"/>
      <c r="J789" s="87"/>
      <c r="K789" s="87"/>
    </row>
    <row r="790" ht="15.75" customHeight="1">
      <c r="A790" s="83"/>
      <c r="B790" s="83"/>
      <c r="C790" s="83"/>
      <c r="D790" s="84"/>
      <c r="E790" s="85"/>
      <c r="F790" s="83"/>
      <c r="G790" s="86"/>
      <c r="H790" s="83"/>
      <c r="I790" s="83"/>
      <c r="J790" s="83"/>
      <c r="K790" s="83"/>
    </row>
    <row r="791" ht="15.75" customHeight="1">
      <c r="A791" s="87"/>
      <c r="B791" s="87"/>
      <c r="C791" s="87"/>
      <c r="D791" s="88"/>
      <c r="E791" s="89"/>
      <c r="F791" s="87"/>
      <c r="G791" s="90"/>
      <c r="H791" s="87"/>
      <c r="I791" s="87"/>
      <c r="J791" s="87"/>
      <c r="K791" s="87"/>
    </row>
    <row r="792" ht="15.75" customHeight="1">
      <c r="A792" s="83"/>
      <c r="B792" s="83"/>
      <c r="C792" s="83"/>
      <c r="D792" s="84"/>
      <c r="E792" s="85"/>
      <c r="F792" s="83"/>
      <c r="G792" s="86"/>
      <c r="H792" s="83"/>
      <c r="I792" s="83"/>
      <c r="J792" s="83"/>
      <c r="K792" s="83"/>
    </row>
    <row r="793" ht="15.75" customHeight="1">
      <c r="A793" s="87"/>
      <c r="B793" s="87"/>
      <c r="C793" s="87"/>
      <c r="D793" s="88"/>
      <c r="E793" s="89"/>
      <c r="F793" s="87"/>
      <c r="G793" s="90"/>
      <c r="H793" s="87"/>
      <c r="I793" s="87"/>
      <c r="J793" s="87"/>
      <c r="K793" s="87"/>
    </row>
    <row r="794" ht="15.75" customHeight="1">
      <c r="A794" s="83"/>
      <c r="B794" s="83"/>
      <c r="C794" s="83"/>
      <c r="D794" s="84"/>
      <c r="E794" s="85"/>
      <c r="F794" s="83"/>
      <c r="G794" s="86"/>
      <c r="H794" s="83"/>
      <c r="I794" s="83"/>
      <c r="J794" s="83"/>
      <c r="K794" s="83"/>
    </row>
    <row r="795" ht="15.75" customHeight="1">
      <c r="A795" s="87"/>
      <c r="B795" s="87"/>
      <c r="C795" s="87"/>
      <c r="D795" s="88"/>
      <c r="E795" s="89"/>
      <c r="F795" s="87"/>
      <c r="G795" s="90"/>
      <c r="H795" s="87"/>
      <c r="I795" s="87"/>
      <c r="J795" s="87"/>
      <c r="K795" s="87"/>
    </row>
    <row r="796" ht="15.75" customHeight="1">
      <c r="A796" s="83"/>
      <c r="B796" s="83"/>
      <c r="C796" s="83"/>
      <c r="D796" s="84"/>
      <c r="E796" s="85"/>
      <c r="F796" s="83"/>
      <c r="G796" s="86"/>
      <c r="H796" s="83"/>
      <c r="I796" s="83"/>
      <c r="J796" s="83"/>
      <c r="K796" s="83"/>
    </row>
    <row r="797" ht="15.75" customHeight="1">
      <c r="A797" s="87"/>
      <c r="B797" s="87"/>
      <c r="C797" s="87"/>
      <c r="D797" s="88"/>
      <c r="E797" s="89"/>
      <c r="F797" s="87"/>
      <c r="G797" s="90"/>
      <c r="H797" s="87"/>
      <c r="I797" s="87"/>
      <c r="J797" s="87"/>
      <c r="K797" s="87"/>
    </row>
    <row r="798" ht="15.75" customHeight="1">
      <c r="A798" s="83"/>
      <c r="B798" s="83"/>
      <c r="C798" s="83"/>
      <c r="D798" s="84"/>
      <c r="E798" s="85"/>
      <c r="F798" s="83"/>
      <c r="G798" s="86"/>
      <c r="H798" s="83"/>
      <c r="I798" s="83"/>
      <c r="J798" s="83"/>
      <c r="K798" s="83"/>
    </row>
    <row r="799" ht="15.75" customHeight="1">
      <c r="A799" s="87"/>
      <c r="B799" s="87"/>
      <c r="C799" s="87"/>
      <c r="D799" s="88"/>
      <c r="E799" s="89"/>
      <c r="F799" s="87"/>
      <c r="G799" s="90"/>
      <c r="H799" s="87"/>
      <c r="I799" s="87"/>
      <c r="J799" s="87"/>
      <c r="K799" s="87"/>
    </row>
    <row r="800" ht="15.75" customHeight="1">
      <c r="A800" s="83"/>
      <c r="B800" s="83"/>
      <c r="C800" s="83"/>
      <c r="D800" s="84"/>
      <c r="E800" s="85"/>
      <c r="F800" s="83"/>
      <c r="G800" s="86"/>
      <c r="H800" s="83"/>
      <c r="I800" s="83"/>
      <c r="J800" s="83"/>
      <c r="K800" s="83"/>
    </row>
    <row r="801" ht="15.75" customHeight="1">
      <c r="A801" s="87"/>
      <c r="B801" s="87"/>
      <c r="C801" s="87"/>
      <c r="D801" s="88"/>
      <c r="E801" s="89"/>
      <c r="F801" s="87"/>
      <c r="G801" s="90"/>
      <c r="H801" s="87"/>
      <c r="I801" s="87"/>
      <c r="J801" s="87"/>
      <c r="K801" s="87"/>
    </row>
    <row r="802" ht="15.75" customHeight="1">
      <c r="A802" s="83"/>
      <c r="B802" s="83"/>
      <c r="C802" s="83"/>
      <c r="D802" s="84"/>
      <c r="E802" s="85"/>
      <c r="F802" s="83"/>
      <c r="G802" s="86"/>
      <c r="H802" s="83"/>
      <c r="I802" s="83"/>
      <c r="J802" s="83"/>
      <c r="K802" s="83"/>
    </row>
    <row r="803" ht="15.75" customHeight="1">
      <c r="A803" s="87"/>
      <c r="B803" s="87"/>
      <c r="C803" s="87"/>
      <c r="D803" s="88"/>
      <c r="E803" s="89"/>
      <c r="F803" s="87"/>
      <c r="G803" s="90"/>
      <c r="H803" s="87"/>
      <c r="I803" s="87"/>
      <c r="J803" s="87"/>
      <c r="K803" s="87"/>
    </row>
    <row r="804" ht="15.75" customHeight="1">
      <c r="A804" s="83"/>
      <c r="B804" s="83"/>
      <c r="C804" s="83"/>
      <c r="D804" s="84"/>
      <c r="E804" s="85"/>
      <c r="F804" s="83"/>
      <c r="G804" s="86"/>
      <c r="H804" s="83"/>
      <c r="I804" s="83"/>
      <c r="J804" s="83"/>
      <c r="K804" s="83"/>
    </row>
    <row r="805" ht="15.75" customHeight="1">
      <c r="A805" s="87"/>
      <c r="B805" s="87"/>
      <c r="C805" s="87"/>
      <c r="D805" s="88"/>
      <c r="E805" s="89"/>
      <c r="F805" s="87"/>
      <c r="G805" s="90"/>
      <c r="H805" s="87"/>
      <c r="I805" s="87"/>
      <c r="J805" s="87"/>
      <c r="K805" s="87"/>
    </row>
    <row r="806" ht="15.75" customHeight="1">
      <c r="A806" s="83"/>
      <c r="B806" s="83"/>
      <c r="C806" s="83"/>
      <c r="D806" s="84"/>
      <c r="E806" s="85"/>
      <c r="F806" s="83"/>
      <c r="G806" s="86"/>
      <c r="H806" s="83"/>
      <c r="I806" s="83"/>
      <c r="J806" s="83"/>
      <c r="K806" s="83"/>
    </row>
    <row r="807" ht="15.75" customHeight="1">
      <c r="A807" s="87"/>
      <c r="B807" s="87"/>
      <c r="C807" s="87"/>
      <c r="D807" s="88"/>
      <c r="E807" s="89"/>
      <c r="F807" s="87"/>
      <c r="G807" s="90"/>
      <c r="H807" s="87"/>
      <c r="I807" s="87"/>
      <c r="J807" s="87"/>
      <c r="K807" s="87"/>
    </row>
    <row r="808" ht="15.75" customHeight="1">
      <c r="A808" s="83"/>
      <c r="B808" s="83"/>
      <c r="C808" s="83"/>
      <c r="D808" s="84"/>
      <c r="E808" s="85"/>
      <c r="F808" s="83"/>
      <c r="G808" s="86"/>
      <c r="H808" s="83"/>
      <c r="I808" s="83"/>
      <c r="J808" s="83"/>
      <c r="K808" s="83"/>
    </row>
    <row r="809" ht="15.75" customHeight="1">
      <c r="A809" s="87"/>
      <c r="B809" s="87"/>
      <c r="C809" s="87"/>
      <c r="D809" s="88"/>
      <c r="E809" s="89"/>
      <c r="F809" s="87"/>
      <c r="G809" s="90"/>
      <c r="H809" s="87"/>
      <c r="I809" s="87"/>
      <c r="J809" s="87"/>
      <c r="K809" s="87"/>
    </row>
    <row r="810" ht="15.75" customHeight="1">
      <c r="A810" s="83"/>
      <c r="B810" s="83"/>
      <c r="C810" s="83"/>
      <c r="D810" s="84"/>
      <c r="E810" s="85"/>
      <c r="F810" s="83"/>
      <c r="G810" s="86"/>
      <c r="H810" s="83"/>
      <c r="I810" s="83"/>
      <c r="J810" s="83"/>
      <c r="K810" s="83"/>
    </row>
    <row r="811" ht="15.75" customHeight="1">
      <c r="A811" s="87"/>
      <c r="B811" s="87"/>
      <c r="C811" s="87"/>
      <c r="D811" s="88"/>
      <c r="E811" s="89"/>
      <c r="F811" s="87"/>
      <c r="G811" s="90"/>
      <c r="H811" s="87"/>
      <c r="I811" s="87"/>
      <c r="J811" s="87"/>
      <c r="K811" s="87"/>
    </row>
    <row r="812" ht="15.75" customHeight="1">
      <c r="A812" s="83"/>
      <c r="B812" s="83"/>
      <c r="C812" s="83"/>
      <c r="D812" s="84"/>
      <c r="E812" s="85"/>
      <c r="F812" s="83"/>
      <c r="G812" s="86"/>
      <c r="H812" s="83"/>
      <c r="I812" s="83"/>
      <c r="J812" s="83"/>
      <c r="K812" s="83"/>
    </row>
    <row r="813" ht="15.75" customHeight="1">
      <c r="A813" s="87"/>
      <c r="B813" s="87"/>
      <c r="C813" s="87"/>
      <c r="D813" s="88"/>
      <c r="E813" s="89"/>
      <c r="F813" s="87"/>
      <c r="G813" s="90"/>
      <c r="H813" s="87"/>
      <c r="I813" s="87"/>
      <c r="J813" s="87"/>
      <c r="K813" s="87"/>
    </row>
    <row r="814" ht="15.75" customHeight="1">
      <c r="A814" s="83"/>
      <c r="B814" s="83"/>
      <c r="C814" s="83"/>
      <c r="D814" s="84"/>
      <c r="E814" s="85"/>
      <c r="F814" s="83"/>
      <c r="G814" s="86"/>
      <c r="H814" s="83"/>
      <c r="I814" s="83"/>
      <c r="J814" s="83"/>
      <c r="K814" s="83"/>
    </row>
    <row r="815" ht="15.75" customHeight="1">
      <c r="A815" s="87"/>
      <c r="B815" s="87"/>
      <c r="C815" s="87"/>
      <c r="D815" s="88"/>
      <c r="E815" s="89"/>
      <c r="F815" s="87"/>
      <c r="G815" s="90"/>
      <c r="H815" s="87"/>
      <c r="I815" s="87"/>
      <c r="J815" s="87"/>
      <c r="K815" s="87"/>
    </row>
    <row r="816" ht="15.75" customHeight="1">
      <c r="A816" s="83"/>
      <c r="B816" s="83"/>
      <c r="C816" s="83"/>
      <c r="D816" s="84"/>
      <c r="E816" s="85"/>
      <c r="F816" s="83"/>
      <c r="G816" s="86"/>
      <c r="H816" s="83"/>
      <c r="I816" s="83"/>
      <c r="J816" s="83"/>
      <c r="K816" s="83"/>
    </row>
    <row r="817" ht="15.75" customHeight="1">
      <c r="A817" s="87"/>
      <c r="B817" s="87"/>
      <c r="C817" s="87"/>
      <c r="D817" s="88"/>
      <c r="E817" s="89"/>
      <c r="F817" s="87"/>
      <c r="G817" s="90"/>
      <c r="H817" s="87"/>
      <c r="I817" s="87"/>
      <c r="J817" s="87"/>
      <c r="K817" s="87"/>
    </row>
    <row r="818" ht="15.75" customHeight="1">
      <c r="A818" s="83"/>
      <c r="B818" s="83"/>
      <c r="C818" s="83"/>
      <c r="D818" s="84"/>
      <c r="E818" s="85"/>
      <c r="F818" s="83"/>
      <c r="G818" s="86"/>
      <c r="H818" s="83"/>
      <c r="I818" s="83"/>
      <c r="J818" s="83"/>
      <c r="K818" s="83"/>
    </row>
    <row r="819" ht="15.75" customHeight="1">
      <c r="A819" s="87"/>
      <c r="B819" s="87"/>
      <c r="C819" s="87"/>
      <c r="D819" s="88"/>
      <c r="E819" s="89"/>
      <c r="F819" s="87"/>
      <c r="G819" s="90"/>
      <c r="H819" s="87"/>
      <c r="I819" s="87"/>
      <c r="J819" s="87"/>
      <c r="K819" s="87"/>
    </row>
    <row r="820" ht="15.75" customHeight="1">
      <c r="A820" s="83"/>
      <c r="B820" s="83"/>
      <c r="C820" s="83"/>
      <c r="D820" s="84"/>
      <c r="E820" s="85"/>
      <c r="F820" s="83"/>
      <c r="G820" s="86"/>
      <c r="H820" s="83"/>
      <c r="I820" s="83"/>
      <c r="J820" s="83"/>
      <c r="K820" s="83"/>
    </row>
    <row r="821" ht="15.75" customHeight="1">
      <c r="A821" s="87"/>
      <c r="B821" s="87"/>
      <c r="C821" s="87"/>
      <c r="D821" s="88"/>
      <c r="E821" s="89"/>
      <c r="F821" s="87"/>
      <c r="G821" s="90"/>
      <c r="H821" s="87"/>
      <c r="I821" s="87"/>
      <c r="J821" s="87"/>
      <c r="K821" s="87"/>
    </row>
    <row r="822" ht="15.75" customHeight="1">
      <c r="A822" s="83"/>
      <c r="B822" s="83"/>
      <c r="C822" s="83"/>
      <c r="D822" s="84"/>
      <c r="E822" s="85"/>
      <c r="F822" s="83"/>
      <c r="G822" s="86"/>
      <c r="H822" s="83"/>
      <c r="I822" s="83"/>
      <c r="J822" s="83"/>
      <c r="K822" s="83"/>
    </row>
    <row r="823" ht="15.75" customHeight="1">
      <c r="A823" s="87"/>
      <c r="B823" s="87"/>
      <c r="C823" s="87"/>
      <c r="D823" s="88"/>
      <c r="E823" s="89"/>
      <c r="F823" s="87"/>
      <c r="G823" s="90"/>
      <c r="H823" s="87"/>
      <c r="I823" s="87"/>
      <c r="J823" s="87"/>
      <c r="K823" s="87"/>
    </row>
    <row r="824" ht="15.75" customHeight="1">
      <c r="A824" s="83"/>
      <c r="B824" s="83"/>
      <c r="C824" s="83"/>
      <c r="D824" s="84"/>
      <c r="E824" s="85"/>
      <c r="F824" s="83"/>
      <c r="G824" s="86"/>
      <c r="H824" s="83"/>
      <c r="I824" s="83"/>
      <c r="J824" s="83"/>
      <c r="K824" s="83"/>
    </row>
    <row r="825" ht="15.75" customHeight="1">
      <c r="A825" s="87"/>
      <c r="B825" s="87"/>
      <c r="C825" s="87"/>
      <c r="D825" s="88"/>
      <c r="E825" s="89"/>
      <c r="F825" s="87"/>
      <c r="G825" s="90"/>
      <c r="H825" s="87"/>
      <c r="I825" s="87"/>
      <c r="J825" s="87"/>
      <c r="K825" s="87"/>
    </row>
    <row r="826" ht="15.75" customHeight="1">
      <c r="A826" s="83"/>
      <c r="B826" s="83"/>
      <c r="C826" s="83"/>
      <c r="D826" s="84"/>
      <c r="E826" s="85"/>
      <c r="F826" s="83"/>
      <c r="G826" s="86"/>
      <c r="H826" s="83"/>
      <c r="I826" s="83"/>
      <c r="J826" s="83"/>
      <c r="K826" s="83"/>
    </row>
    <row r="827" ht="15.75" customHeight="1">
      <c r="A827" s="87"/>
      <c r="B827" s="87"/>
      <c r="C827" s="87"/>
      <c r="D827" s="88"/>
      <c r="E827" s="89"/>
      <c r="F827" s="87"/>
      <c r="G827" s="90"/>
      <c r="H827" s="87"/>
      <c r="I827" s="87"/>
      <c r="J827" s="87"/>
      <c r="K827" s="87"/>
    </row>
    <row r="828" ht="15.75" customHeight="1">
      <c r="A828" s="83"/>
      <c r="B828" s="83"/>
      <c r="C828" s="83"/>
      <c r="D828" s="84"/>
      <c r="E828" s="85"/>
      <c r="F828" s="83"/>
      <c r="G828" s="86"/>
      <c r="H828" s="83"/>
      <c r="I828" s="83"/>
      <c r="J828" s="83"/>
      <c r="K828" s="83"/>
    </row>
    <row r="829" ht="15.75" customHeight="1">
      <c r="A829" s="87"/>
      <c r="B829" s="87"/>
      <c r="C829" s="87"/>
      <c r="D829" s="88"/>
      <c r="E829" s="89"/>
      <c r="F829" s="87"/>
      <c r="G829" s="90"/>
      <c r="H829" s="87"/>
      <c r="I829" s="87"/>
      <c r="J829" s="87"/>
      <c r="K829" s="87"/>
    </row>
    <row r="830" ht="15.75" customHeight="1">
      <c r="A830" s="83"/>
      <c r="B830" s="83"/>
      <c r="C830" s="83"/>
      <c r="D830" s="84"/>
      <c r="E830" s="85"/>
      <c r="F830" s="83"/>
      <c r="G830" s="86"/>
      <c r="H830" s="83"/>
      <c r="I830" s="83"/>
      <c r="J830" s="83"/>
      <c r="K830" s="83"/>
    </row>
    <row r="831" ht="15.75" customHeight="1">
      <c r="A831" s="87"/>
      <c r="B831" s="87"/>
      <c r="C831" s="87"/>
      <c r="D831" s="88"/>
      <c r="E831" s="89"/>
      <c r="F831" s="87"/>
      <c r="G831" s="90"/>
      <c r="H831" s="87"/>
      <c r="I831" s="87"/>
      <c r="J831" s="87"/>
      <c r="K831" s="87"/>
    </row>
    <row r="832" ht="15.75" customHeight="1">
      <c r="A832" s="83"/>
      <c r="B832" s="83"/>
      <c r="C832" s="83"/>
      <c r="D832" s="84"/>
      <c r="E832" s="85"/>
      <c r="F832" s="83"/>
      <c r="G832" s="86"/>
      <c r="H832" s="83"/>
      <c r="I832" s="83"/>
      <c r="J832" s="83"/>
      <c r="K832" s="83"/>
    </row>
    <row r="833" ht="15.75" customHeight="1">
      <c r="A833" s="87"/>
      <c r="B833" s="87"/>
      <c r="C833" s="87"/>
      <c r="D833" s="88"/>
      <c r="E833" s="89"/>
      <c r="F833" s="87"/>
      <c r="G833" s="90"/>
      <c r="H833" s="87"/>
      <c r="I833" s="87"/>
      <c r="J833" s="87"/>
      <c r="K833" s="87"/>
    </row>
    <row r="834" ht="15.75" customHeight="1">
      <c r="A834" s="83"/>
      <c r="B834" s="83"/>
      <c r="C834" s="83"/>
      <c r="D834" s="84"/>
      <c r="E834" s="85"/>
      <c r="F834" s="83"/>
      <c r="G834" s="86"/>
      <c r="H834" s="83"/>
      <c r="I834" s="83"/>
      <c r="J834" s="83"/>
      <c r="K834" s="83"/>
    </row>
    <row r="835" ht="15.75" customHeight="1">
      <c r="A835" s="87"/>
      <c r="B835" s="87"/>
      <c r="C835" s="87"/>
      <c r="D835" s="88"/>
      <c r="E835" s="89"/>
      <c r="F835" s="87"/>
      <c r="G835" s="90"/>
      <c r="H835" s="87"/>
      <c r="I835" s="87"/>
      <c r="J835" s="87"/>
      <c r="K835" s="87"/>
    </row>
    <row r="836" ht="15.75" customHeight="1">
      <c r="A836" s="83"/>
      <c r="B836" s="83"/>
      <c r="C836" s="83"/>
      <c r="D836" s="84"/>
      <c r="E836" s="85"/>
      <c r="F836" s="83"/>
      <c r="G836" s="86"/>
      <c r="H836" s="83"/>
      <c r="I836" s="83"/>
      <c r="J836" s="83"/>
      <c r="K836" s="83"/>
    </row>
    <row r="837" ht="15.75" customHeight="1">
      <c r="A837" s="87"/>
      <c r="B837" s="87"/>
      <c r="C837" s="87"/>
      <c r="D837" s="88"/>
      <c r="E837" s="89"/>
      <c r="F837" s="87"/>
      <c r="G837" s="90"/>
      <c r="H837" s="87"/>
      <c r="I837" s="87"/>
      <c r="J837" s="87"/>
      <c r="K837" s="87"/>
    </row>
    <row r="838" ht="15.75" customHeight="1">
      <c r="A838" s="83"/>
      <c r="B838" s="83"/>
      <c r="C838" s="83"/>
      <c r="D838" s="84"/>
      <c r="E838" s="85"/>
      <c r="F838" s="83"/>
      <c r="G838" s="86"/>
      <c r="H838" s="83"/>
      <c r="I838" s="83"/>
      <c r="J838" s="83"/>
      <c r="K838" s="83"/>
    </row>
    <row r="839" ht="15.75" customHeight="1">
      <c r="A839" s="87"/>
      <c r="B839" s="87"/>
      <c r="C839" s="87"/>
      <c r="D839" s="88"/>
      <c r="E839" s="89"/>
      <c r="F839" s="87"/>
      <c r="G839" s="90"/>
      <c r="H839" s="87"/>
      <c r="I839" s="87"/>
      <c r="J839" s="87"/>
      <c r="K839" s="87"/>
    </row>
    <row r="840" ht="15.75" customHeight="1">
      <c r="A840" s="83"/>
      <c r="B840" s="83"/>
      <c r="C840" s="83"/>
      <c r="D840" s="84"/>
      <c r="E840" s="85"/>
      <c r="F840" s="83"/>
      <c r="G840" s="86"/>
      <c r="H840" s="83"/>
      <c r="I840" s="83"/>
      <c r="J840" s="83"/>
      <c r="K840" s="83"/>
    </row>
    <row r="841" ht="15.75" customHeight="1">
      <c r="A841" s="87"/>
      <c r="B841" s="87"/>
      <c r="C841" s="87"/>
      <c r="D841" s="88"/>
      <c r="E841" s="89"/>
      <c r="F841" s="87"/>
      <c r="G841" s="90"/>
      <c r="H841" s="87"/>
      <c r="I841" s="87"/>
      <c r="J841" s="87"/>
      <c r="K841" s="87"/>
    </row>
    <row r="842" ht="15.75" customHeight="1">
      <c r="A842" s="83"/>
      <c r="B842" s="83"/>
      <c r="C842" s="83"/>
      <c r="D842" s="84"/>
      <c r="E842" s="85"/>
      <c r="F842" s="83"/>
      <c r="G842" s="86"/>
      <c r="H842" s="83"/>
      <c r="I842" s="83"/>
      <c r="J842" s="83"/>
      <c r="K842" s="83"/>
    </row>
    <row r="843" ht="15.75" customHeight="1">
      <c r="A843" s="87"/>
      <c r="B843" s="87"/>
      <c r="C843" s="87"/>
      <c r="D843" s="88"/>
      <c r="E843" s="89"/>
      <c r="F843" s="87"/>
      <c r="G843" s="90"/>
      <c r="H843" s="87"/>
      <c r="I843" s="87"/>
      <c r="J843" s="87"/>
      <c r="K843" s="87"/>
    </row>
    <row r="844" ht="15.75" customHeight="1">
      <c r="A844" s="83"/>
      <c r="B844" s="83"/>
      <c r="C844" s="83"/>
      <c r="D844" s="84"/>
      <c r="E844" s="85"/>
      <c r="F844" s="83"/>
      <c r="G844" s="86"/>
      <c r="H844" s="83"/>
      <c r="I844" s="83"/>
      <c r="J844" s="83"/>
      <c r="K844" s="83"/>
    </row>
    <row r="845" ht="15.75" customHeight="1">
      <c r="A845" s="87"/>
      <c r="B845" s="87"/>
      <c r="C845" s="87"/>
      <c r="D845" s="88"/>
      <c r="E845" s="89"/>
      <c r="F845" s="87"/>
      <c r="G845" s="90"/>
      <c r="H845" s="87"/>
      <c r="I845" s="87"/>
      <c r="J845" s="87"/>
      <c r="K845" s="87"/>
    </row>
    <row r="846" ht="15.75" customHeight="1">
      <c r="A846" s="83"/>
      <c r="B846" s="83"/>
      <c r="C846" s="83"/>
      <c r="D846" s="84"/>
      <c r="E846" s="85"/>
      <c r="F846" s="83"/>
      <c r="G846" s="86"/>
      <c r="H846" s="83"/>
      <c r="I846" s="83"/>
      <c r="J846" s="83"/>
      <c r="K846" s="83"/>
    </row>
    <row r="847" ht="15.75" customHeight="1">
      <c r="A847" s="87"/>
      <c r="B847" s="87"/>
      <c r="C847" s="87"/>
      <c r="D847" s="88"/>
      <c r="E847" s="89"/>
      <c r="F847" s="87"/>
      <c r="G847" s="90"/>
      <c r="H847" s="87"/>
      <c r="I847" s="87"/>
      <c r="J847" s="87"/>
      <c r="K847" s="87"/>
    </row>
    <row r="848" ht="15.75" customHeight="1">
      <c r="A848" s="83"/>
      <c r="B848" s="83"/>
      <c r="C848" s="83"/>
      <c r="D848" s="84"/>
      <c r="E848" s="85"/>
      <c r="F848" s="83"/>
      <c r="G848" s="86"/>
      <c r="H848" s="83"/>
      <c r="I848" s="83"/>
      <c r="J848" s="83"/>
      <c r="K848" s="83"/>
    </row>
    <row r="849" ht="15.75" customHeight="1">
      <c r="A849" s="87"/>
      <c r="B849" s="87"/>
      <c r="C849" s="87"/>
      <c r="D849" s="88"/>
      <c r="E849" s="89"/>
      <c r="F849" s="87"/>
      <c r="G849" s="90"/>
      <c r="H849" s="87"/>
      <c r="I849" s="87"/>
      <c r="J849" s="87"/>
      <c r="K849" s="87"/>
    </row>
    <row r="850" ht="15.75" customHeight="1">
      <c r="A850" s="83"/>
      <c r="B850" s="83"/>
      <c r="C850" s="83"/>
      <c r="D850" s="84"/>
      <c r="E850" s="85"/>
      <c r="F850" s="83"/>
      <c r="G850" s="86"/>
      <c r="H850" s="83"/>
      <c r="I850" s="83"/>
      <c r="J850" s="83"/>
      <c r="K850" s="83"/>
    </row>
    <row r="851" ht="15.75" customHeight="1">
      <c r="A851" s="87"/>
      <c r="B851" s="87"/>
      <c r="C851" s="87"/>
      <c r="D851" s="88"/>
      <c r="E851" s="89"/>
      <c r="F851" s="87"/>
      <c r="G851" s="90"/>
      <c r="H851" s="87"/>
      <c r="I851" s="87"/>
      <c r="J851" s="87"/>
      <c r="K851" s="87"/>
    </row>
    <row r="852" ht="15.75" customHeight="1">
      <c r="A852" s="83"/>
      <c r="B852" s="83"/>
      <c r="C852" s="83"/>
      <c r="D852" s="84"/>
      <c r="E852" s="85"/>
      <c r="F852" s="83"/>
      <c r="G852" s="86"/>
      <c r="H852" s="83"/>
      <c r="I852" s="83"/>
      <c r="J852" s="83"/>
      <c r="K852" s="83"/>
    </row>
    <row r="853" ht="15.75" customHeight="1">
      <c r="A853" s="87"/>
      <c r="B853" s="87"/>
      <c r="C853" s="87"/>
      <c r="D853" s="88"/>
      <c r="E853" s="89"/>
      <c r="F853" s="87"/>
      <c r="G853" s="90"/>
      <c r="H853" s="87"/>
      <c r="I853" s="87"/>
      <c r="J853" s="87"/>
      <c r="K853" s="87"/>
    </row>
    <row r="854" ht="15.75" customHeight="1">
      <c r="A854" s="83"/>
      <c r="B854" s="83"/>
      <c r="C854" s="83"/>
      <c r="D854" s="84"/>
      <c r="E854" s="85"/>
      <c r="F854" s="83"/>
      <c r="G854" s="86"/>
      <c r="H854" s="83"/>
      <c r="I854" s="83"/>
      <c r="J854" s="83"/>
      <c r="K854" s="83"/>
    </row>
    <row r="855" ht="15.75" customHeight="1">
      <c r="A855" s="87"/>
      <c r="B855" s="87"/>
      <c r="C855" s="87"/>
      <c r="D855" s="88"/>
      <c r="E855" s="89"/>
      <c r="F855" s="87"/>
      <c r="G855" s="90"/>
      <c r="H855" s="87"/>
      <c r="I855" s="87"/>
      <c r="J855" s="87"/>
      <c r="K855" s="87"/>
    </row>
    <row r="856" ht="15.75" customHeight="1">
      <c r="A856" s="83"/>
      <c r="B856" s="83"/>
      <c r="C856" s="83"/>
      <c r="D856" s="84"/>
      <c r="E856" s="85"/>
      <c r="F856" s="83"/>
      <c r="G856" s="86"/>
      <c r="H856" s="83"/>
      <c r="I856" s="83"/>
      <c r="J856" s="83"/>
      <c r="K856" s="83"/>
    </row>
    <row r="857" ht="15.75" customHeight="1">
      <c r="A857" s="87"/>
      <c r="B857" s="87"/>
      <c r="C857" s="87"/>
      <c r="D857" s="88"/>
      <c r="E857" s="89"/>
      <c r="F857" s="87"/>
      <c r="G857" s="90"/>
      <c r="H857" s="87"/>
      <c r="I857" s="87"/>
      <c r="J857" s="87"/>
      <c r="K857" s="87"/>
    </row>
    <row r="858" ht="15.75" customHeight="1">
      <c r="A858" s="83"/>
      <c r="B858" s="83"/>
      <c r="C858" s="83"/>
      <c r="D858" s="84"/>
      <c r="E858" s="85"/>
      <c r="F858" s="83"/>
      <c r="G858" s="86"/>
      <c r="H858" s="83"/>
      <c r="I858" s="83"/>
      <c r="J858" s="83"/>
      <c r="K858" s="83"/>
    </row>
    <row r="859" ht="15.75" customHeight="1">
      <c r="A859" s="87"/>
      <c r="B859" s="87"/>
      <c r="C859" s="87"/>
      <c r="D859" s="88"/>
      <c r="E859" s="89"/>
      <c r="F859" s="87"/>
      <c r="G859" s="90"/>
      <c r="H859" s="87"/>
      <c r="I859" s="87"/>
      <c r="J859" s="87"/>
      <c r="K859" s="87"/>
    </row>
    <row r="860" ht="15.75" customHeight="1">
      <c r="A860" s="83"/>
      <c r="B860" s="83"/>
      <c r="C860" s="83"/>
      <c r="D860" s="84"/>
      <c r="E860" s="85"/>
      <c r="F860" s="83"/>
      <c r="G860" s="86"/>
      <c r="H860" s="83"/>
      <c r="I860" s="83"/>
      <c r="J860" s="83"/>
      <c r="K860" s="83"/>
    </row>
    <row r="861" ht="15.75" customHeight="1">
      <c r="A861" s="87"/>
      <c r="B861" s="87"/>
      <c r="C861" s="87"/>
      <c r="D861" s="88"/>
      <c r="E861" s="89"/>
      <c r="F861" s="87"/>
      <c r="G861" s="90"/>
      <c r="H861" s="87"/>
      <c r="I861" s="87"/>
      <c r="J861" s="87"/>
      <c r="K861" s="87"/>
    </row>
    <row r="862" ht="15.75" customHeight="1">
      <c r="A862" s="83"/>
      <c r="B862" s="83"/>
      <c r="C862" s="83"/>
      <c r="D862" s="84"/>
      <c r="E862" s="85"/>
      <c r="F862" s="83"/>
      <c r="G862" s="86"/>
      <c r="H862" s="83"/>
      <c r="I862" s="83"/>
      <c r="J862" s="83"/>
      <c r="K862" s="83"/>
    </row>
    <row r="863" ht="15.75" customHeight="1">
      <c r="A863" s="87"/>
      <c r="B863" s="87"/>
      <c r="C863" s="87"/>
      <c r="D863" s="88"/>
      <c r="E863" s="89"/>
      <c r="F863" s="87"/>
      <c r="G863" s="90"/>
      <c r="H863" s="87"/>
      <c r="I863" s="87"/>
      <c r="J863" s="87"/>
      <c r="K863" s="87"/>
    </row>
    <row r="864" ht="15.75" customHeight="1">
      <c r="A864" s="83"/>
      <c r="B864" s="83"/>
      <c r="C864" s="83"/>
      <c r="D864" s="84"/>
      <c r="E864" s="85"/>
      <c r="F864" s="83"/>
      <c r="G864" s="86"/>
      <c r="H864" s="83"/>
      <c r="I864" s="83"/>
      <c r="J864" s="83"/>
      <c r="K864" s="83"/>
    </row>
    <row r="865" ht="15.75" customHeight="1">
      <c r="A865" s="87"/>
      <c r="B865" s="87"/>
      <c r="C865" s="87"/>
      <c r="D865" s="88"/>
      <c r="E865" s="89"/>
      <c r="F865" s="87"/>
      <c r="G865" s="90"/>
      <c r="H865" s="87"/>
      <c r="I865" s="87"/>
      <c r="J865" s="87"/>
      <c r="K865" s="87"/>
    </row>
    <row r="866" ht="15.75" customHeight="1">
      <c r="A866" s="83"/>
      <c r="B866" s="83"/>
      <c r="C866" s="83"/>
      <c r="D866" s="84"/>
      <c r="E866" s="85"/>
      <c r="F866" s="83"/>
      <c r="G866" s="86"/>
      <c r="H866" s="83"/>
      <c r="I866" s="83"/>
      <c r="J866" s="83"/>
      <c r="K866" s="83"/>
    </row>
    <row r="867" ht="15.75" customHeight="1">
      <c r="A867" s="87"/>
      <c r="B867" s="87"/>
      <c r="C867" s="87"/>
      <c r="D867" s="88"/>
      <c r="E867" s="89"/>
      <c r="F867" s="87"/>
      <c r="G867" s="90"/>
      <c r="H867" s="87"/>
      <c r="I867" s="87"/>
      <c r="J867" s="87"/>
      <c r="K867" s="87"/>
    </row>
    <row r="868" ht="15.75" customHeight="1">
      <c r="A868" s="83"/>
      <c r="B868" s="83"/>
      <c r="C868" s="83"/>
      <c r="D868" s="84"/>
      <c r="E868" s="85"/>
      <c r="F868" s="83"/>
      <c r="G868" s="86"/>
      <c r="H868" s="83"/>
      <c r="I868" s="83"/>
      <c r="J868" s="83"/>
      <c r="K868" s="83"/>
    </row>
    <row r="869" ht="15.75" customHeight="1">
      <c r="A869" s="87"/>
      <c r="B869" s="87"/>
      <c r="C869" s="87"/>
      <c r="D869" s="88"/>
      <c r="E869" s="89"/>
      <c r="F869" s="87"/>
      <c r="G869" s="90"/>
      <c r="H869" s="87"/>
      <c r="I869" s="87"/>
      <c r="J869" s="87"/>
      <c r="K869" s="87"/>
    </row>
    <row r="870" ht="15.75" customHeight="1">
      <c r="A870" s="83"/>
      <c r="B870" s="83"/>
      <c r="C870" s="83"/>
      <c r="D870" s="84"/>
      <c r="E870" s="85"/>
      <c r="F870" s="83"/>
      <c r="G870" s="86"/>
      <c r="H870" s="83"/>
      <c r="I870" s="83"/>
      <c r="J870" s="83"/>
      <c r="K870" s="83"/>
    </row>
    <row r="871" ht="15.75" customHeight="1">
      <c r="A871" s="87"/>
      <c r="B871" s="87"/>
      <c r="C871" s="87"/>
      <c r="D871" s="88"/>
      <c r="E871" s="89"/>
      <c r="F871" s="87"/>
      <c r="G871" s="90"/>
      <c r="H871" s="87"/>
      <c r="I871" s="87"/>
      <c r="J871" s="87"/>
      <c r="K871" s="87"/>
    </row>
    <row r="872" ht="15.75" customHeight="1">
      <c r="A872" s="83"/>
      <c r="B872" s="83"/>
      <c r="C872" s="83"/>
      <c r="D872" s="84"/>
      <c r="E872" s="85"/>
      <c r="F872" s="83"/>
      <c r="G872" s="86"/>
      <c r="H872" s="83"/>
      <c r="I872" s="83"/>
      <c r="J872" s="83"/>
      <c r="K872" s="83"/>
    </row>
    <row r="873" ht="15.75" customHeight="1">
      <c r="A873" s="87"/>
      <c r="B873" s="87"/>
      <c r="C873" s="87"/>
      <c r="D873" s="88"/>
      <c r="E873" s="89"/>
      <c r="F873" s="87"/>
      <c r="G873" s="90"/>
      <c r="H873" s="87"/>
      <c r="I873" s="87"/>
      <c r="J873" s="87"/>
      <c r="K873" s="87"/>
    </row>
    <row r="874" ht="15.75" customHeight="1">
      <c r="A874" s="83"/>
      <c r="B874" s="83"/>
      <c r="C874" s="83"/>
      <c r="D874" s="84"/>
      <c r="E874" s="85"/>
      <c r="F874" s="83"/>
      <c r="G874" s="86"/>
      <c r="H874" s="83"/>
      <c r="I874" s="83"/>
      <c r="J874" s="83"/>
      <c r="K874" s="83"/>
    </row>
    <row r="875" ht="15.75" customHeight="1">
      <c r="A875" s="87"/>
      <c r="B875" s="87"/>
      <c r="C875" s="87"/>
      <c r="D875" s="88"/>
      <c r="E875" s="89"/>
      <c r="F875" s="87"/>
      <c r="G875" s="90"/>
      <c r="H875" s="87"/>
      <c r="I875" s="87"/>
      <c r="J875" s="87"/>
      <c r="K875" s="87"/>
    </row>
    <row r="876" ht="15.75" customHeight="1">
      <c r="A876" s="83"/>
      <c r="B876" s="83"/>
      <c r="C876" s="83"/>
      <c r="D876" s="84"/>
      <c r="E876" s="85"/>
      <c r="F876" s="83"/>
      <c r="G876" s="86"/>
      <c r="H876" s="83"/>
      <c r="I876" s="83"/>
      <c r="J876" s="83"/>
      <c r="K876" s="83"/>
    </row>
    <row r="877" ht="15.75" customHeight="1">
      <c r="A877" s="87"/>
      <c r="B877" s="87"/>
      <c r="C877" s="87"/>
      <c r="D877" s="88"/>
      <c r="E877" s="89"/>
      <c r="F877" s="87"/>
      <c r="G877" s="90"/>
      <c r="H877" s="87"/>
      <c r="I877" s="87"/>
      <c r="J877" s="87"/>
      <c r="K877" s="87"/>
    </row>
    <row r="878" ht="15.75" customHeight="1">
      <c r="A878" s="83"/>
      <c r="B878" s="83"/>
      <c r="C878" s="83"/>
      <c r="D878" s="84"/>
      <c r="E878" s="85"/>
      <c r="F878" s="83"/>
      <c r="G878" s="86"/>
      <c r="H878" s="83"/>
      <c r="I878" s="83"/>
      <c r="J878" s="83"/>
      <c r="K878" s="83"/>
    </row>
    <row r="879" ht="15.75" customHeight="1">
      <c r="A879" s="87"/>
      <c r="B879" s="87"/>
      <c r="C879" s="87"/>
      <c r="D879" s="88"/>
      <c r="E879" s="89"/>
      <c r="F879" s="87"/>
      <c r="G879" s="90"/>
      <c r="H879" s="87"/>
      <c r="I879" s="87"/>
      <c r="J879" s="87"/>
      <c r="K879" s="87"/>
    </row>
    <row r="880" ht="15.75" customHeight="1">
      <c r="A880" s="83"/>
      <c r="B880" s="83"/>
      <c r="C880" s="83"/>
      <c r="D880" s="84"/>
      <c r="E880" s="85"/>
      <c r="F880" s="83"/>
      <c r="G880" s="86"/>
      <c r="H880" s="83"/>
      <c r="I880" s="83"/>
      <c r="J880" s="83"/>
      <c r="K880" s="83"/>
    </row>
    <row r="881" ht="15.75" customHeight="1">
      <c r="A881" s="87"/>
      <c r="B881" s="87"/>
      <c r="C881" s="87"/>
      <c r="D881" s="88"/>
      <c r="E881" s="89"/>
      <c r="F881" s="87"/>
      <c r="G881" s="90"/>
      <c r="H881" s="87"/>
      <c r="I881" s="87"/>
      <c r="J881" s="87"/>
      <c r="K881" s="87"/>
    </row>
    <row r="882" ht="15.75" customHeight="1">
      <c r="A882" s="83"/>
      <c r="B882" s="83"/>
      <c r="C882" s="83"/>
      <c r="D882" s="84"/>
      <c r="E882" s="85"/>
      <c r="F882" s="83"/>
      <c r="G882" s="86"/>
      <c r="H882" s="83"/>
      <c r="I882" s="83"/>
      <c r="J882" s="83"/>
      <c r="K882" s="83"/>
    </row>
    <row r="883" ht="15.75" customHeight="1">
      <c r="A883" s="87"/>
      <c r="B883" s="87"/>
      <c r="C883" s="87"/>
      <c r="D883" s="88"/>
      <c r="E883" s="89"/>
      <c r="F883" s="87"/>
      <c r="G883" s="90"/>
      <c r="H883" s="87"/>
      <c r="I883" s="87"/>
      <c r="J883" s="87"/>
      <c r="K883" s="87"/>
    </row>
    <row r="884" ht="15.75" customHeight="1">
      <c r="A884" s="83"/>
      <c r="B884" s="83"/>
      <c r="C884" s="83"/>
      <c r="D884" s="84"/>
      <c r="E884" s="85"/>
      <c r="F884" s="83"/>
      <c r="G884" s="86"/>
      <c r="H884" s="83"/>
      <c r="I884" s="83"/>
      <c r="J884" s="83"/>
      <c r="K884" s="83"/>
    </row>
    <row r="885" ht="15.75" customHeight="1">
      <c r="A885" s="87"/>
      <c r="B885" s="87"/>
      <c r="C885" s="87"/>
      <c r="D885" s="88"/>
      <c r="E885" s="89"/>
      <c r="F885" s="87"/>
      <c r="G885" s="90"/>
      <c r="H885" s="87"/>
      <c r="I885" s="87"/>
      <c r="J885" s="87"/>
      <c r="K885" s="87"/>
    </row>
    <row r="886" ht="15.75" customHeight="1">
      <c r="A886" s="83"/>
      <c r="B886" s="83"/>
      <c r="C886" s="83"/>
      <c r="D886" s="84"/>
      <c r="E886" s="85"/>
      <c r="F886" s="83"/>
      <c r="G886" s="86"/>
      <c r="H886" s="83"/>
      <c r="I886" s="83"/>
      <c r="J886" s="83"/>
      <c r="K886" s="83"/>
    </row>
    <row r="887" ht="15.75" customHeight="1">
      <c r="A887" s="87"/>
      <c r="B887" s="87"/>
      <c r="C887" s="87"/>
      <c r="D887" s="88"/>
      <c r="E887" s="89"/>
      <c r="F887" s="87"/>
      <c r="G887" s="90"/>
      <c r="H887" s="87"/>
      <c r="I887" s="87"/>
      <c r="J887" s="87"/>
      <c r="K887" s="87"/>
    </row>
    <row r="888" ht="15.75" customHeight="1">
      <c r="A888" s="83"/>
      <c r="B888" s="83"/>
      <c r="C888" s="83"/>
      <c r="D888" s="84"/>
      <c r="E888" s="85"/>
      <c r="F888" s="83"/>
      <c r="G888" s="86"/>
      <c r="H888" s="83"/>
      <c r="I888" s="83"/>
      <c r="J888" s="83"/>
      <c r="K888" s="83"/>
    </row>
    <row r="889" ht="15.75" customHeight="1">
      <c r="A889" s="87"/>
      <c r="B889" s="87"/>
      <c r="C889" s="87"/>
      <c r="D889" s="88"/>
      <c r="E889" s="89"/>
      <c r="F889" s="87"/>
      <c r="G889" s="90"/>
      <c r="H889" s="87"/>
      <c r="I889" s="87"/>
      <c r="J889" s="87"/>
      <c r="K889" s="87"/>
    </row>
    <row r="890" ht="15.75" customHeight="1">
      <c r="A890" s="83"/>
      <c r="B890" s="83"/>
      <c r="C890" s="83"/>
      <c r="D890" s="84"/>
      <c r="E890" s="85"/>
      <c r="F890" s="83"/>
      <c r="G890" s="86"/>
      <c r="H890" s="83"/>
      <c r="I890" s="83"/>
      <c r="J890" s="83"/>
      <c r="K890" s="83"/>
    </row>
    <row r="891" ht="15.75" customHeight="1">
      <c r="A891" s="87"/>
      <c r="B891" s="87"/>
      <c r="C891" s="87"/>
      <c r="D891" s="88"/>
      <c r="E891" s="89"/>
      <c r="F891" s="87"/>
      <c r="G891" s="90"/>
      <c r="H891" s="87"/>
      <c r="I891" s="87"/>
      <c r="J891" s="87"/>
      <c r="K891" s="87"/>
    </row>
    <row r="892" ht="15.75" customHeight="1">
      <c r="A892" s="83"/>
      <c r="B892" s="83"/>
      <c r="C892" s="83"/>
      <c r="D892" s="84"/>
      <c r="E892" s="85"/>
      <c r="F892" s="83"/>
      <c r="G892" s="86"/>
      <c r="H892" s="83"/>
      <c r="I892" s="83"/>
      <c r="J892" s="83"/>
      <c r="K892" s="83"/>
    </row>
    <row r="893" ht="15.75" customHeight="1">
      <c r="A893" s="87"/>
      <c r="B893" s="87"/>
      <c r="C893" s="87"/>
      <c r="D893" s="88"/>
      <c r="E893" s="89"/>
      <c r="F893" s="87"/>
      <c r="G893" s="90"/>
      <c r="H893" s="87"/>
      <c r="I893" s="87"/>
      <c r="J893" s="87"/>
      <c r="K893" s="87"/>
    </row>
    <row r="894" ht="15.75" customHeight="1">
      <c r="A894" s="83"/>
      <c r="B894" s="83"/>
      <c r="C894" s="83"/>
      <c r="D894" s="84"/>
      <c r="E894" s="85"/>
      <c r="F894" s="83"/>
      <c r="G894" s="86"/>
      <c r="H894" s="83"/>
      <c r="I894" s="83"/>
      <c r="J894" s="83"/>
      <c r="K894" s="83"/>
    </row>
    <row r="895" ht="15.75" customHeight="1">
      <c r="A895" s="87"/>
      <c r="B895" s="87"/>
      <c r="C895" s="87"/>
      <c r="D895" s="88"/>
      <c r="E895" s="89"/>
      <c r="F895" s="87"/>
      <c r="G895" s="90"/>
      <c r="H895" s="87"/>
      <c r="I895" s="87"/>
      <c r="J895" s="87"/>
      <c r="K895" s="87"/>
    </row>
    <row r="896" ht="15.75" customHeight="1">
      <c r="A896" s="83"/>
      <c r="B896" s="83"/>
      <c r="C896" s="83"/>
      <c r="D896" s="84"/>
      <c r="E896" s="85"/>
      <c r="F896" s="83"/>
      <c r="G896" s="86"/>
      <c r="H896" s="83"/>
      <c r="I896" s="83"/>
      <c r="J896" s="83"/>
      <c r="K896" s="83"/>
    </row>
    <row r="897" ht="15.75" customHeight="1">
      <c r="A897" s="87"/>
      <c r="B897" s="87"/>
      <c r="C897" s="87"/>
      <c r="D897" s="88"/>
      <c r="E897" s="89"/>
      <c r="F897" s="87"/>
      <c r="G897" s="90"/>
      <c r="H897" s="87"/>
      <c r="I897" s="87"/>
      <c r="J897" s="87"/>
      <c r="K897" s="87"/>
    </row>
    <row r="898" ht="15.75" customHeight="1">
      <c r="A898" s="83"/>
      <c r="B898" s="83"/>
      <c r="C898" s="83"/>
      <c r="D898" s="84"/>
      <c r="E898" s="85"/>
      <c r="F898" s="83"/>
      <c r="G898" s="86"/>
      <c r="H898" s="83"/>
      <c r="I898" s="83"/>
      <c r="J898" s="83"/>
      <c r="K898" s="83"/>
    </row>
    <row r="899" ht="15.75" customHeight="1">
      <c r="A899" s="87"/>
      <c r="B899" s="87"/>
      <c r="C899" s="87"/>
      <c r="D899" s="88"/>
      <c r="E899" s="89"/>
      <c r="F899" s="87"/>
      <c r="G899" s="90"/>
      <c r="H899" s="87"/>
      <c r="I899" s="87"/>
      <c r="J899" s="87"/>
      <c r="K899" s="87"/>
    </row>
    <row r="900" ht="15.75" customHeight="1">
      <c r="A900" s="83"/>
      <c r="B900" s="83"/>
      <c r="C900" s="83"/>
      <c r="D900" s="84"/>
      <c r="E900" s="85"/>
      <c r="F900" s="83"/>
      <c r="G900" s="86"/>
      <c r="H900" s="83"/>
      <c r="I900" s="83"/>
      <c r="J900" s="83"/>
      <c r="K900" s="83"/>
    </row>
    <row r="901" ht="15.75" customHeight="1">
      <c r="A901" s="87"/>
      <c r="B901" s="87"/>
      <c r="C901" s="87"/>
      <c r="D901" s="88"/>
      <c r="E901" s="89"/>
      <c r="F901" s="87"/>
      <c r="G901" s="90"/>
      <c r="H901" s="87"/>
      <c r="I901" s="87"/>
      <c r="J901" s="87"/>
      <c r="K901" s="87"/>
    </row>
    <row r="902" ht="15.75" customHeight="1">
      <c r="A902" s="83"/>
      <c r="B902" s="83"/>
      <c r="C902" s="83"/>
      <c r="D902" s="84"/>
      <c r="E902" s="85"/>
      <c r="F902" s="83"/>
      <c r="G902" s="86"/>
      <c r="H902" s="83"/>
      <c r="I902" s="83"/>
      <c r="J902" s="83"/>
      <c r="K902" s="83"/>
    </row>
    <row r="903" ht="15.75" customHeight="1">
      <c r="A903" s="87"/>
      <c r="B903" s="87"/>
      <c r="C903" s="87"/>
      <c r="D903" s="88"/>
      <c r="E903" s="89"/>
      <c r="F903" s="87"/>
      <c r="G903" s="90"/>
      <c r="H903" s="87"/>
      <c r="I903" s="87"/>
      <c r="J903" s="87"/>
      <c r="K903" s="87"/>
    </row>
    <row r="904" ht="15.75" customHeight="1">
      <c r="A904" s="83"/>
      <c r="B904" s="83"/>
      <c r="C904" s="83"/>
      <c r="D904" s="84"/>
      <c r="E904" s="85"/>
      <c r="F904" s="83"/>
      <c r="G904" s="86"/>
      <c r="H904" s="83"/>
      <c r="I904" s="83"/>
      <c r="J904" s="83"/>
      <c r="K904" s="83"/>
    </row>
    <row r="905" ht="15.75" customHeight="1">
      <c r="A905" s="87"/>
      <c r="B905" s="87"/>
      <c r="C905" s="87"/>
      <c r="D905" s="88"/>
      <c r="E905" s="89"/>
      <c r="F905" s="87"/>
      <c r="G905" s="90"/>
      <c r="H905" s="87"/>
      <c r="I905" s="87"/>
      <c r="J905" s="87"/>
      <c r="K905" s="87"/>
    </row>
    <row r="906" ht="15.75" customHeight="1">
      <c r="A906" s="83"/>
      <c r="B906" s="83"/>
      <c r="C906" s="83"/>
      <c r="D906" s="84"/>
      <c r="E906" s="85"/>
      <c r="F906" s="83"/>
      <c r="G906" s="86"/>
      <c r="H906" s="83"/>
      <c r="I906" s="83"/>
      <c r="J906" s="83"/>
      <c r="K906" s="83"/>
    </row>
    <row r="907" ht="15.75" customHeight="1">
      <c r="A907" s="87"/>
      <c r="B907" s="87"/>
      <c r="C907" s="87"/>
      <c r="D907" s="88"/>
      <c r="E907" s="89"/>
      <c r="F907" s="87"/>
      <c r="G907" s="90"/>
      <c r="H907" s="87"/>
      <c r="I907" s="87"/>
      <c r="J907" s="87"/>
      <c r="K907" s="87"/>
    </row>
    <row r="908" ht="15.75" customHeight="1">
      <c r="A908" s="83"/>
      <c r="B908" s="83"/>
      <c r="C908" s="83"/>
      <c r="D908" s="84"/>
      <c r="E908" s="85"/>
      <c r="F908" s="83"/>
      <c r="G908" s="86"/>
      <c r="H908" s="83"/>
      <c r="I908" s="83"/>
      <c r="J908" s="83"/>
      <c r="K908" s="83"/>
    </row>
    <row r="909" ht="15.75" customHeight="1">
      <c r="A909" s="87"/>
      <c r="B909" s="87"/>
      <c r="C909" s="87"/>
      <c r="D909" s="88"/>
      <c r="E909" s="89"/>
      <c r="F909" s="87"/>
      <c r="G909" s="90"/>
      <c r="H909" s="87"/>
      <c r="I909" s="87"/>
      <c r="J909" s="87"/>
      <c r="K909" s="87"/>
    </row>
    <row r="910" ht="15.75" customHeight="1">
      <c r="A910" s="83"/>
      <c r="B910" s="83"/>
      <c r="C910" s="83"/>
      <c r="D910" s="84"/>
      <c r="E910" s="85"/>
      <c r="F910" s="83"/>
      <c r="G910" s="86"/>
      <c r="H910" s="83"/>
      <c r="I910" s="83"/>
      <c r="J910" s="83"/>
      <c r="K910" s="83"/>
    </row>
    <row r="911" ht="15.75" customHeight="1">
      <c r="A911" s="87"/>
      <c r="B911" s="87"/>
      <c r="C911" s="87"/>
      <c r="D911" s="88"/>
      <c r="E911" s="89"/>
      <c r="F911" s="87"/>
      <c r="G911" s="90"/>
      <c r="H911" s="87"/>
      <c r="I911" s="87"/>
      <c r="J911" s="87"/>
      <c r="K911" s="87"/>
    </row>
    <row r="912" ht="15.75" customHeight="1">
      <c r="A912" s="83"/>
      <c r="B912" s="83"/>
      <c r="C912" s="83"/>
      <c r="D912" s="84"/>
      <c r="E912" s="85"/>
      <c r="F912" s="83"/>
      <c r="G912" s="86"/>
      <c r="H912" s="83"/>
      <c r="I912" s="83"/>
      <c r="J912" s="83"/>
      <c r="K912" s="83"/>
    </row>
    <row r="913" ht="15.75" customHeight="1">
      <c r="A913" s="87"/>
      <c r="B913" s="87"/>
      <c r="C913" s="87"/>
      <c r="D913" s="88"/>
      <c r="E913" s="89"/>
      <c r="F913" s="87"/>
      <c r="G913" s="90"/>
      <c r="H913" s="87"/>
      <c r="I913" s="87"/>
      <c r="J913" s="87"/>
      <c r="K913" s="87"/>
    </row>
    <row r="914" ht="15.75" customHeight="1">
      <c r="A914" s="83"/>
      <c r="B914" s="83"/>
      <c r="C914" s="83"/>
      <c r="D914" s="84"/>
      <c r="E914" s="85"/>
      <c r="F914" s="83"/>
      <c r="G914" s="86"/>
      <c r="H914" s="83"/>
      <c r="I914" s="83"/>
      <c r="J914" s="83"/>
      <c r="K914" s="83"/>
    </row>
    <row r="915" ht="15.75" customHeight="1">
      <c r="A915" s="87"/>
      <c r="B915" s="87"/>
      <c r="C915" s="87"/>
      <c r="D915" s="88"/>
      <c r="E915" s="89"/>
      <c r="F915" s="87"/>
      <c r="G915" s="90"/>
      <c r="H915" s="87"/>
      <c r="I915" s="87"/>
      <c r="J915" s="87"/>
      <c r="K915" s="87"/>
    </row>
    <row r="916" ht="15.75" customHeight="1">
      <c r="A916" s="83"/>
      <c r="B916" s="83"/>
      <c r="C916" s="83"/>
      <c r="D916" s="84"/>
      <c r="E916" s="85"/>
      <c r="F916" s="83"/>
      <c r="G916" s="86"/>
      <c r="H916" s="83"/>
      <c r="I916" s="83"/>
      <c r="J916" s="83"/>
      <c r="K916" s="83"/>
    </row>
    <row r="917" ht="15.75" customHeight="1">
      <c r="A917" s="87"/>
      <c r="B917" s="87"/>
      <c r="C917" s="87"/>
      <c r="D917" s="88"/>
      <c r="E917" s="89"/>
      <c r="F917" s="87"/>
      <c r="G917" s="90"/>
      <c r="H917" s="87"/>
      <c r="I917" s="87"/>
      <c r="J917" s="87"/>
      <c r="K917" s="87"/>
    </row>
    <row r="918" ht="15.75" customHeight="1">
      <c r="A918" s="83"/>
      <c r="B918" s="83"/>
      <c r="C918" s="83"/>
      <c r="D918" s="84"/>
      <c r="E918" s="85"/>
      <c r="F918" s="83"/>
      <c r="G918" s="86"/>
      <c r="H918" s="83"/>
      <c r="I918" s="83"/>
      <c r="J918" s="83"/>
      <c r="K918" s="83"/>
    </row>
    <row r="919" ht="15.75" customHeight="1">
      <c r="A919" s="87"/>
      <c r="B919" s="87"/>
      <c r="C919" s="87"/>
      <c r="D919" s="88"/>
      <c r="E919" s="89"/>
      <c r="F919" s="87"/>
      <c r="G919" s="90"/>
      <c r="H919" s="87"/>
      <c r="I919" s="87"/>
      <c r="J919" s="87"/>
      <c r="K919" s="87"/>
    </row>
    <row r="920" ht="15.75" customHeight="1">
      <c r="A920" s="83"/>
      <c r="B920" s="83"/>
      <c r="C920" s="83"/>
      <c r="D920" s="84"/>
      <c r="E920" s="85"/>
      <c r="F920" s="83"/>
      <c r="G920" s="86"/>
      <c r="H920" s="83"/>
      <c r="I920" s="83"/>
      <c r="J920" s="83"/>
      <c r="K920" s="83"/>
    </row>
    <row r="921" ht="15.75" customHeight="1">
      <c r="A921" s="87"/>
      <c r="B921" s="87"/>
      <c r="C921" s="87"/>
      <c r="D921" s="88"/>
      <c r="E921" s="89"/>
      <c r="F921" s="87"/>
      <c r="G921" s="90"/>
      <c r="H921" s="87"/>
      <c r="I921" s="87"/>
      <c r="J921" s="87"/>
      <c r="K921" s="87"/>
    </row>
    <row r="922" ht="15.75" customHeight="1">
      <c r="A922" s="83"/>
      <c r="B922" s="83"/>
      <c r="C922" s="83"/>
      <c r="D922" s="84"/>
      <c r="E922" s="85"/>
      <c r="F922" s="83"/>
      <c r="G922" s="86"/>
      <c r="H922" s="83"/>
      <c r="I922" s="83"/>
      <c r="J922" s="83"/>
      <c r="K922" s="83"/>
    </row>
    <row r="923" ht="15.75" customHeight="1">
      <c r="A923" s="87"/>
      <c r="B923" s="87"/>
      <c r="C923" s="87"/>
      <c r="D923" s="88"/>
      <c r="E923" s="89"/>
      <c r="F923" s="87"/>
      <c r="G923" s="90"/>
      <c r="H923" s="87"/>
      <c r="I923" s="87"/>
      <c r="J923" s="87"/>
      <c r="K923" s="87"/>
    </row>
    <row r="924" ht="15.75" customHeight="1">
      <c r="A924" s="83"/>
      <c r="B924" s="83"/>
      <c r="C924" s="83"/>
      <c r="D924" s="84"/>
      <c r="E924" s="85"/>
      <c r="F924" s="83"/>
      <c r="G924" s="86"/>
      <c r="H924" s="83"/>
      <c r="I924" s="83"/>
      <c r="J924" s="83"/>
      <c r="K924" s="83"/>
    </row>
    <row r="925" ht="15.75" customHeight="1">
      <c r="A925" s="87"/>
      <c r="B925" s="87"/>
      <c r="C925" s="87"/>
      <c r="D925" s="88"/>
      <c r="E925" s="89"/>
      <c r="F925" s="87"/>
      <c r="G925" s="90"/>
      <c r="H925" s="87"/>
      <c r="I925" s="87"/>
      <c r="J925" s="87"/>
      <c r="K925" s="87"/>
    </row>
    <row r="926" ht="15.75" customHeight="1">
      <c r="A926" s="83"/>
      <c r="B926" s="83"/>
      <c r="C926" s="83"/>
      <c r="D926" s="84"/>
      <c r="E926" s="85"/>
      <c r="F926" s="83"/>
      <c r="G926" s="86"/>
      <c r="H926" s="83"/>
      <c r="I926" s="83"/>
      <c r="J926" s="83"/>
      <c r="K926" s="83"/>
    </row>
    <row r="927" ht="15.75" customHeight="1">
      <c r="A927" s="87"/>
      <c r="B927" s="87"/>
      <c r="C927" s="87"/>
      <c r="D927" s="88"/>
      <c r="E927" s="89"/>
      <c r="F927" s="87"/>
      <c r="G927" s="90"/>
      <c r="H927" s="87"/>
      <c r="I927" s="87"/>
      <c r="J927" s="87"/>
      <c r="K927" s="87"/>
    </row>
    <row r="928" ht="15.75" customHeight="1">
      <c r="A928" s="83"/>
      <c r="B928" s="83"/>
      <c r="C928" s="83"/>
      <c r="D928" s="84"/>
      <c r="E928" s="85"/>
      <c r="F928" s="83"/>
      <c r="G928" s="86"/>
      <c r="H928" s="83"/>
      <c r="I928" s="83"/>
      <c r="J928" s="83"/>
      <c r="K928" s="83"/>
    </row>
    <row r="929" ht="15.75" customHeight="1">
      <c r="A929" s="87"/>
      <c r="B929" s="87"/>
      <c r="C929" s="87"/>
      <c r="D929" s="88"/>
      <c r="E929" s="89"/>
      <c r="F929" s="87"/>
      <c r="G929" s="90"/>
      <c r="H929" s="87"/>
      <c r="I929" s="87"/>
      <c r="J929" s="87"/>
      <c r="K929" s="87"/>
    </row>
    <row r="930" ht="15.75" customHeight="1">
      <c r="A930" s="83"/>
      <c r="B930" s="83"/>
      <c r="C930" s="83"/>
      <c r="D930" s="84"/>
      <c r="E930" s="85"/>
      <c r="F930" s="83"/>
      <c r="G930" s="86"/>
      <c r="H930" s="83"/>
      <c r="I930" s="83"/>
      <c r="J930" s="83"/>
      <c r="K930" s="83"/>
    </row>
    <row r="931" ht="15.75" customHeight="1">
      <c r="A931" s="87"/>
      <c r="B931" s="87"/>
      <c r="C931" s="87"/>
      <c r="D931" s="88"/>
      <c r="E931" s="89"/>
      <c r="F931" s="87"/>
      <c r="G931" s="90"/>
      <c r="H931" s="87"/>
      <c r="I931" s="87"/>
      <c r="J931" s="87"/>
      <c r="K931" s="87"/>
    </row>
    <row r="932" ht="15.75" customHeight="1">
      <c r="A932" s="83"/>
      <c r="B932" s="83"/>
      <c r="C932" s="83"/>
      <c r="D932" s="84"/>
      <c r="E932" s="85"/>
      <c r="F932" s="83"/>
      <c r="G932" s="86"/>
      <c r="H932" s="83"/>
      <c r="I932" s="83"/>
      <c r="J932" s="83"/>
      <c r="K932" s="83"/>
    </row>
    <row r="933" ht="15.75" customHeight="1">
      <c r="A933" s="87"/>
      <c r="B933" s="87"/>
      <c r="C933" s="87"/>
      <c r="D933" s="88"/>
      <c r="E933" s="89"/>
      <c r="F933" s="87"/>
      <c r="G933" s="90"/>
      <c r="H933" s="87"/>
      <c r="I933" s="87"/>
      <c r="J933" s="87"/>
      <c r="K933" s="87"/>
    </row>
    <row r="934" ht="15.75" customHeight="1">
      <c r="A934" s="83"/>
      <c r="B934" s="83"/>
      <c r="C934" s="83"/>
      <c r="D934" s="84"/>
      <c r="E934" s="85"/>
      <c r="F934" s="83"/>
      <c r="G934" s="86"/>
      <c r="H934" s="83"/>
      <c r="I934" s="83"/>
      <c r="J934" s="83"/>
      <c r="K934" s="83"/>
    </row>
    <row r="935" ht="15.75" customHeight="1">
      <c r="A935" s="87"/>
      <c r="B935" s="87"/>
      <c r="C935" s="87"/>
      <c r="D935" s="88"/>
      <c r="E935" s="89"/>
      <c r="F935" s="87"/>
      <c r="G935" s="90"/>
      <c r="H935" s="87"/>
      <c r="I935" s="87"/>
      <c r="J935" s="87"/>
      <c r="K935" s="87"/>
    </row>
    <row r="936" ht="15.75" customHeight="1">
      <c r="A936" s="83"/>
      <c r="B936" s="83"/>
      <c r="C936" s="83"/>
      <c r="D936" s="84"/>
      <c r="E936" s="85"/>
      <c r="F936" s="83"/>
      <c r="G936" s="86"/>
      <c r="H936" s="83"/>
      <c r="I936" s="83"/>
      <c r="J936" s="83"/>
      <c r="K936" s="83"/>
    </row>
    <row r="937" ht="15.75" customHeight="1">
      <c r="A937" s="87"/>
      <c r="B937" s="87"/>
      <c r="C937" s="87"/>
      <c r="D937" s="88"/>
      <c r="E937" s="89"/>
      <c r="F937" s="87"/>
      <c r="G937" s="90"/>
      <c r="H937" s="87"/>
      <c r="I937" s="87"/>
      <c r="J937" s="87"/>
      <c r="K937" s="87"/>
    </row>
    <row r="938" ht="15.75" customHeight="1">
      <c r="A938" s="83"/>
      <c r="B938" s="83"/>
      <c r="C938" s="83"/>
      <c r="D938" s="84"/>
      <c r="E938" s="85"/>
      <c r="F938" s="83"/>
      <c r="G938" s="86"/>
      <c r="H938" s="83"/>
      <c r="I938" s="83"/>
      <c r="J938" s="83"/>
      <c r="K938" s="83"/>
    </row>
    <row r="939" ht="15.75" customHeight="1">
      <c r="A939" s="87"/>
      <c r="B939" s="87"/>
      <c r="C939" s="87"/>
      <c r="D939" s="88"/>
      <c r="E939" s="89"/>
      <c r="F939" s="87"/>
      <c r="G939" s="90"/>
      <c r="H939" s="87"/>
      <c r="I939" s="87"/>
      <c r="J939" s="87"/>
      <c r="K939" s="87"/>
    </row>
    <row r="940" ht="15.75" customHeight="1">
      <c r="A940" s="83"/>
      <c r="B940" s="83"/>
      <c r="C940" s="83"/>
      <c r="D940" s="84"/>
      <c r="E940" s="85"/>
      <c r="F940" s="83"/>
      <c r="G940" s="86"/>
      <c r="H940" s="83"/>
      <c r="I940" s="83"/>
      <c r="J940" s="83"/>
      <c r="K940" s="83"/>
    </row>
    <row r="941" ht="15.75" customHeight="1">
      <c r="A941" s="87"/>
      <c r="B941" s="87"/>
      <c r="C941" s="87"/>
      <c r="D941" s="88"/>
      <c r="E941" s="89"/>
      <c r="F941" s="87"/>
      <c r="G941" s="90"/>
      <c r="H941" s="87"/>
      <c r="I941" s="87"/>
      <c r="J941" s="87"/>
      <c r="K941" s="87"/>
    </row>
    <row r="942" ht="15.75" customHeight="1">
      <c r="A942" s="83"/>
      <c r="B942" s="83"/>
      <c r="C942" s="83"/>
      <c r="D942" s="84"/>
      <c r="E942" s="85"/>
      <c r="F942" s="83"/>
      <c r="G942" s="86"/>
      <c r="H942" s="83"/>
      <c r="I942" s="83"/>
      <c r="J942" s="83"/>
      <c r="K942" s="83"/>
    </row>
    <row r="943" ht="15.75" customHeight="1">
      <c r="A943" s="87"/>
      <c r="B943" s="87"/>
      <c r="C943" s="87"/>
      <c r="D943" s="88"/>
      <c r="E943" s="89"/>
      <c r="F943" s="87"/>
      <c r="G943" s="90"/>
      <c r="H943" s="87"/>
      <c r="I943" s="87"/>
      <c r="J943" s="87"/>
      <c r="K943" s="87"/>
    </row>
    <row r="944" ht="15.75" customHeight="1">
      <c r="A944" s="83"/>
      <c r="B944" s="83"/>
      <c r="C944" s="83"/>
      <c r="D944" s="84"/>
      <c r="E944" s="85"/>
      <c r="F944" s="83"/>
      <c r="G944" s="86"/>
      <c r="H944" s="83"/>
      <c r="I944" s="83"/>
      <c r="J944" s="83"/>
      <c r="K944" s="83"/>
    </row>
    <row r="945" ht="15.75" customHeight="1">
      <c r="A945" s="87"/>
      <c r="B945" s="87"/>
      <c r="C945" s="87"/>
      <c r="D945" s="88"/>
      <c r="E945" s="89"/>
      <c r="F945" s="87"/>
      <c r="G945" s="90"/>
      <c r="H945" s="87"/>
      <c r="I945" s="87"/>
      <c r="J945" s="87"/>
      <c r="K945" s="87"/>
    </row>
    <row r="946" ht="15.75" customHeight="1">
      <c r="A946" s="83"/>
      <c r="B946" s="83"/>
      <c r="C946" s="83"/>
      <c r="D946" s="84"/>
      <c r="E946" s="85"/>
      <c r="F946" s="83"/>
      <c r="G946" s="86"/>
      <c r="H946" s="83"/>
      <c r="I946" s="83"/>
      <c r="J946" s="83"/>
      <c r="K946" s="83"/>
    </row>
    <row r="947" ht="15.75" customHeight="1">
      <c r="A947" s="87"/>
      <c r="B947" s="87"/>
      <c r="C947" s="87"/>
      <c r="D947" s="88"/>
      <c r="E947" s="89"/>
      <c r="F947" s="87"/>
      <c r="G947" s="90"/>
      <c r="H947" s="87"/>
      <c r="I947" s="87"/>
      <c r="J947" s="87"/>
      <c r="K947" s="87"/>
    </row>
    <row r="948" ht="15.75" customHeight="1">
      <c r="A948" s="83"/>
      <c r="B948" s="83"/>
      <c r="C948" s="83"/>
      <c r="D948" s="84"/>
      <c r="E948" s="85"/>
      <c r="F948" s="83"/>
      <c r="G948" s="86"/>
      <c r="H948" s="83"/>
      <c r="I948" s="83"/>
      <c r="J948" s="83"/>
      <c r="K948" s="83"/>
    </row>
    <row r="949" ht="15.75" customHeight="1">
      <c r="A949" s="87"/>
      <c r="B949" s="87"/>
      <c r="C949" s="87"/>
      <c r="D949" s="88"/>
      <c r="E949" s="89"/>
      <c r="F949" s="87"/>
      <c r="G949" s="90"/>
      <c r="H949" s="87"/>
      <c r="I949" s="87"/>
      <c r="J949" s="87"/>
      <c r="K949" s="87"/>
    </row>
    <row r="950" ht="15.75" customHeight="1">
      <c r="A950" s="83"/>
      <c r="B950" s="83"/>
      <c r="C950" s="83"/>
      <c r="D950" s="84"/>
      <c r="E950" s="85"/>
      <c r="F950" s="83"/>
      <c r="G950" s="86"/>
      <c r="H950" s="83"/>
      <c r="I950" s="83"/>
      <c r="J950" s="83"/>
      <c r="K950" s="83"/>
    </row>
    <row r="951" ht="15.75" customHeight="1">
      <c r="A951" s="87"/>
      <c r="B951" s="87"/>
      <c r="C951" s="87"/>
      <c r="D951" s="88"/>
      <c r="E951" s="89"/>
      <c r="F951" s="87"/>
      <c r="G951" s="90"/>
      <c r="H951" s="87"/>
      <c r="I951" s="87"/>
      <c r="J951" s="87"/>
      <c r="K951" s="87"/>
    </row>
    <row r="952" ht="15.75" customHeight="1">
      <c r="A952" s="83"/>
      <c r="B952" s="83"/>
      <c r="C952" s="83"/>
      <c r="D952" s="84"/>
      <c r="E952" s="85"/>
      <c r="F952" s="83"/>
      <c r="G952" s="86"/>
      <c r="H952" s="83"/>
      <c r="I952" s="83"/>
      <c r="J952" s="83"/>
      <c r="K952" s="83"/>
    </row>
    <row r="953" ht="15.75" customHeight="1">
      <c r="A953" s="87"/>
      <c r="B953" s="87"/>
      <c r="C953" s="87"/>
      <c r="D953" s="88"/>
      <c r="E953" s="89"/>
      <c r="F953" s="87"/>
      <c r="G953" s="90"/>
      <c r="H953" s="87"/>
      <c r="I953" s="87"/>
      <c r="J953" s="87"/>
      <c r="K953" s="87"/>
    </row>
    <row r="954" ht="15.75" customHeight="1">
      <c r="A954" s="83"/>
      <c r="B954" s="83"/>
      <c r="C954" s="83"/>
      <c r="D954" s="84"/>
      <c r="E954" s="85"/>
      <c r="F954" s="83"/>
      <c r="G954" s="86"/>
      <c r="H954" s="83"/>
      <c r="I954" s="83"/>
      <c r="J954" s="83"/>
      <c r="K954" s="83"/>
    </row>
    <row r="955" ht="15.75" customHeight="1">
      <c r="A955" s="87"/>
      <c r="B955" s="87"/>
      <c r="C955" s="87"/>
      <c r="D955" s="88"/>
      <c r="E955" s="89"/>
      <c r="F955" s="87"/>
      <c r="G955" s="90"/>
      <c r="H955" s="87"/>
      <c r="I955" s="87"/>
      <c r="J955" s="87"/>
      <c r="K955" s="87"/>
    </row>
    <row r="956" ht="15.75" customHeight="1">
      <c r="A956" s="83"/>
      <c r="B956" s="83"/>
      <c r="C956" s="83"/>
      <c r="D956" s="84"/>
      <c r="E956" s="85"/>
      <c r="F956" s="83"/>
      <c r="G956" s="86"/>
      <c r="H956" s="83"/>
      <c r="I956" s="83"/>
      <c r="J956" s="83"/>
      <c r="K956" s="83"/>
    </row>
    <row r="957" ht="15.75" customHeight="1">
      <c r="A957" s="87"/>
      <c r="B957" s="87"/>
      <c r="C957" s="87"/>
      <c r="D957" s="88"/>
      <c r="E957" s="89"/>
      <c r="F957" s="87"/>
      <c r="G957" s="90"/>
      <c r="H957" s="87"/>
      <c r="I957" s="87"/>
      <c r="J957" s="87"/>
      <c r="K957" s="87"/>
    </row>
    <row r="958" ht="15.75" customHeight="1">
      <c r="A958" s="83"/>
      <c r="B958" s="83"/>
      <c r="C958" s="83"/>
      <c r="D958" s="84"/>
      <c r="E958" s="85"/>
      <c r="F958" s="83"/>
      <c r="G958" s="86"/>
      <c r="H958" s="83"/>
      <c r="I958" s="83"/>
      <c r="J958" s="83"/>
      <c r="K958" s="83"/>
    </row>
    <row r="959" ht="15.75" customHeight="1">
      <c r="A959" s="87"/>
      <c r="B959" s="87"/>
      <c r="C959" s="87"/>
      <c r="D959" s="88"/>
      <c r="E959" s="89"/>
      <c r="F959" s="87"/>
      <c r="G959" s="90"/>
      <c r="H959" s="87"/>
      <c r="I959" s="87"/>
      <c r="J959" s="87"/>
      <c r="K959" s="87"/>
    </row>
    <row r="960" ht="15.75" customHeight="1">
      <c r="A960" s="83"/>
      <c r="B960" s="83"/>
      <c r="C960" s="83"/>
      <c r="D960" s="84"/>
      <c r="E960" s="85"/>
      <c r="F960" s="83"/>
      <c r="G960" s="86"/>
      <c r="H960" s="83"/>
      <c r="I960" s="83"/>
      <c r="J960" s="83"/>
      <c r="K960" s="83"/>
    </row>
    <row r="961" ht="15.75" customHeight="1">
      <c r="A961" s="87"/>
      <c r="B961" s="87"/>
      <c r="C961" s="87"/>
      <c r="D961" s="88"/>
      <c r="E961" s="89"/>
      <c r="F961" s="87"/>
      <c r="G961" s="90"/>
      <c r="H961" s="87"/>
      <c r="I961" s="87"/>
      <c r="J961" s="87"/>
      <c r="K961" s="87"/>
    </row>
    <row r="962" ht="15.75" customHeight="1">
      <c r="A962" s="83"/>
      <c r="B962" s="83"/>
      <c r="C962" s="83"/>
      <c r="D962" s="84"/>
      <c r="E962" s="85"/>
      <c r="F962" s="83"/>
      <c r="G962" s="86"/>
      <c r="H962" s="83"/>
      <c r="I962" s="83"/>
      <c r="J962" s="83"/>
      <c r="K962" s="83"/>
    </row>
    <row r="963" ht="15.75" customHeight="1">
      <c r="A963" s="87"/>
      <c r="B963" s="87"/>
      <c r="C963" s="87"/>
      <c r="D963" s="88"/>
      <c r="E963" s="89"/>
      <c r="F963" s="87"/>
      <c r="G963" s="90"/>
      <c r="H963" s="87"/>
      <c r="I963" s="87"/>
      <c r="J963" s="87"/>
      <c r="K963" s="87"/>
    </row>
    <row r="964" ht="15.75" customHeight="1">
      <c r="A964" s="83"/>
      <c r="B964" s="83"/>
      <c r="C964" s="83"/>
      <c r="D964" s="84"/>
      <c r="E964" s="85"/>
      <c r="F964" s="83"/>
      <c r="G964" s="86"/>
      <c r="H964" s="83"/>
      <c r="I964" s="83"/>
      <c r="J964" s="83"/>
      <c r="K964" s="83"/>
    </row>
    <row r="965" ht="15.75" customHeight="1">
      <c r="A965" s="87"/>
      <c r="B965" s="87"/>
      <c r="C965" s="87"/>
      <c r="D965" s="88"/>
      <c r="E965" s="89"/>
      <c r="F965" s="87"/>
      <c r="G965" s="90"/>
      <c r="H965" s="87"/>
      <c r="I965" s="87"/>
      <c r="J965" s="87"/>
      <c r="K965" s="87"/>
    </row>
    <row r="966" ht="15.75" customHeight="1">
      <c r="A966" s="83"/>
      <c r="B966" s="83"/>
      <c r="C966" s="83"/>
      <c r="D966" s="84"/>
      <c r="E966" s="85"/>
      <c r="F966" s="83"/>
      <c r="G966" s="86"/>
      <c r="H966" s="83"/>
      <c r="I966" s="83"/>
      <c r="J966" s="83"/>
      <c r="K966" s="83"/>
    </row>
    <row r="967" ht="15.75" customHeight="1">
      <c r="A967" s="87"/>
      <c r="B967" s="87"/>
      <c r="C967" s="87"/>
      <c r="D967" s="88"/>
      <c r="E967" s="89"/>
      <c r="F967" s="87"/>
      <c r="G967" s="90"/>
      <c r="H967" s="87"/>
      <c r="I967" s="87"/>
      <c r="J967" s="87"/>
      <c r="K967" s="87"/>
    </row>
    <row r="968" ht="15.75" customHeight="1">
      <c r="A968" s="83"/>
      <c r="B968" s="83"/>
      <c r="C968" s="83"/>
      <c r="D968" s="84"/>
      <c r="E968" s="85"/>
      <c r="F968" s="83"/>
      <c r="G968" s="86"/>
      <c r="H968" s="83"/>
      <c r="I968" s="83"/>
      <c r="J968" s="83"/>
      <c r="K968" s="83"/>
    </row>
    <row r="969" ht="15.75" customHeight="1">
      <c r="A969" s="87"/>
      <c r="B969" s="87"/>
      <c r="C969" s="87"/>
      <c r="D969" s="88"/>
      <c r="E969" s="89"/>
      <c r="F969" s="87"/>
      <c r="G969" s="90"/>
      <c r="H969" s="87"/>
      <c r="I969" s="87"/>
      <c r="J969" s="87"/>
      <c r="K969" s="87"/>
    </row>
    <row r="970" ht="15.75" customHeight="1">
      <c r="A970" s="83"/>
      <c r="B970" s="83"/>
      <c r="C970" s="83"/>
      <c r="D970" s="84"/>
      <c r="E970" s="85"/>
      <c r="F970" s="83"/>
      <c r="G970" s="86"/>
      <c r="H970" s="83"/>
      <c r="I970" s="83"/>
      <c r="J970" s="83"/>
      <c r="K970" s="83"/>
    </row>
    <row r="971" ht="15.75" customHeight="1">
      <c r="A971" s="87"/>
      <c r="B971" s="87"/>
      <c r="C971" s="87"/>
      <c r="D971" s="88"/>
      <c r="E971" s="89"/>
      <c r="F971" s="87"/>
      <c r="G971" s="90"/>
      <c r="H971" s="87"/>
      <c r="I971" s="87"/>
      <c r="J971" s="87"/>
      <c r="K971" s="87"/>
    </row>
    <row r="972" ht="15.75" customHeight="1">
      <c r="A972" s="83"/>
      <c r="B972" s="83"/>
      <c r="C972" s="83"/>
      <c r="D972" s="84"/>
      <c r="E972" s="85"/>
      <c r="F972" s="83"/>
      <c r="G972" s="86"/>
      <c r="H972" s="83"/>
      <c r="I972" s="83"/>
      <c r="J972" s="83"/>
      <c r="K972" s="83"/>
    </row>
    <row r="973" ht="15.75" customHeight="1">
      <c r="A973" s="87"/>
      <c r="B973" s="87"/>
      <c r="C973" s="87"/>
      <c r="D973" s="88"/>
      <c r="E973" s="89"/>
      <c r="F973" s="87"/>
      <c r="G973" s="90"/>
      <c r="H973" s="87"/>
      <c r="I973" s="87"/>
      <c r="J973" s="87"/>
      <c r="K973" s="87"/>
    </row>
    <row r="974" ht="15.75" customHeight="1">
      <c r="A974" s="83"/>
      <c r="B974" s="83"/>
      <c r="C974" s="83"/>
      <c r="D974" s="84"/>
      <c r="E974" s="85"/>
      <c r="F974" s="83"/>
      <c r="G974" s="86"/>
      <c r="H974" s="83"/>
      <c r="I974" s="83"/>
      <c r="J974" s="83"/>
      <c r="K974" s="83"/>
    </row>
    <row r="975" ht="15.75" customHeight="1">
      <c r="A975" s="87"/>
      <c r="B975" s="87"/>
      <c r="C975" s="87"/>
      <c r="D975" s="88"/>
      <c r="E975" s="89"/>
      <c r="F975" s="87"/>
      <c r="G975" s="90"/>
      <c r="H975" s="87"/>
      <c r="I975" s="87"/>
      <c r="J975" s="87"/>
      <c r="K975" s="87"/>
    </row>
    <row r="976" ht="15.75" customHeight="1">
      <c r="A976" s="83"/>
      <c r="B976" s="83"/>
      <c r="C976" s="83"/>
      <c r="D976" s="84"/>
      <c r="E976" s="85"/>
      <c r="F976" s="83"/>
      <c r="G976" s="86"/>
      <c r="H976" s="83"/>
      <c r="I976" s="83"/>
      <c r="J976" s="83"/>
      <c r="K976" s="83"/>
    </row>
    <row r="977" ht="15.75" customHeight="1">
      <c r="A977" s="87"/>
      <c r="B977" s="87"/>
      <c r="C977" s="87"/>
      <c r="D977" s="88"/>
      <c r="E977" s="89"/>
      <c r="F977" s="87"/>
      <c r="G977" s="90"/>
      <c r="H977" s="87"/>
      <c r="I977" s="87"/>
      <c r="J977" s="87"/>
      <c r="K977" s="87"/>
    </row>
    <row r="978" ht="15.75" customHeight="1">
      <c r="A978" s="83"/>
      <c r="B978" s="83"/>
      <c r="C978" s="83"/>
      <c r="D978" s="84"/>
      <c r="E978" s="85"/>
      <c r="F978" s="83"/>
      <c r="G978" s="86"/>
      <c r="H978" s="83"/>
      <c r="I978" s="83"/>
      <c r="J978" s="83"/>
      <c r="K978" s="83"/>
    </row>
    <row r="979" ht="15.75" customHeight="1">
      <c r="A979" s="87"/>
      <c r="B979" s="87"/>
      <c r="C979" s="87"/>
      <c r="D979" s="88"/>
      <c r="E979" s="89"/>
      <c r="F979" s="87"/>
      <c r="G979" s="90"/>
      <c r="H979" s="87"/>
      <c r="I979" s="87"/>
      <c r="J979" s="87"/>
      <c r="K979" s="87"/>
    </row>
    <row r="980" ht="15.75" customHeight="1">
      <c r="A980" s="83"/>
      <c r="B980" s="83"/>
      <c r="C980" s="83"/>
      <c r="D980" s="84"/>
      <c r="E980" s="85"/>
      <c r="F980" s="83"/>
      <c r="G980" s="86"/>
      <c r="H980" s="83"/>
      <c r="I980" s="83"/>
      <c r="J980" s="83"/>
      <c r="K980" s="83"/>
    </row>
    <row r="981" ht="15.75" customHeight="1">
      <c r="A981" s="87"/>
      <c r="B981" s="87"/>
      <c r="C981" s="87"/>
      <c r="D981" s="88"/>
      <c r="E981" s="89"/>
      <c r="F981" s="87"/>
      <c r="G981" s="90"/>
      <c r="H981" s="87"/>
      <c r="I981" s="87"/>
      <c r="J981" s="87"/>
      <c r="K981" s="87"/>
    </row>
    <row r="982" ht="15.75" customHeight="1">
      <c r="A982" s="83"/>
      <c r="B982" s="83"/>
      <c r="C982" s="83"/>
      <c r="D982" s="84"/>
      <c r="E982" s="85"/>
      <c r="F982" s="83"/>
      <c r="G982" s="86"/>
      <c r="H982" s="83"/>
      <c r="I982" s="83"/>
      <c r="J982" s="83"/>
      <c r="K982" s="83"/>
    </row>
    <row r="983" ht="15.75" customHeight="1">
      <c r="A983" s="87"/>
      <c r="B983" s="87"/>
      <c r="C983" s="87"/>
      <c r="D983" s="88"/>
      <c r="E983" s="89"/>
      <c r="F983" s="87"/>
      <c r="G983" s="90"/>
      <c r="H983" s="87"/>
      <c r="I983" s="87"/>
      <c r="J983" s="87"/>
      <c r="K983" s="87"/>
    </row>
    <row r="984" ht="15.75" customHeight="1">
      <c r="A984" s="83"/>
      <c r="B984" s="83"/>
      <c r="C984" s="83"/>
      <c r="D984" s="84"/>
      <c r="E984" s="85"/>
      <c r="F984" s="83"/>
      <c r="G984" s="86"/>
      <c r="H984" s="83"/>
      <c r="I984" s="83"/>
      <c r="J984" s="83"/>
      <c r="K984" s="83"/>
    </row>
    <row r="985" ht="15.75" customHeight="1">
      <c r="A985" s="87"/>
      <c r="B985" s="87"/>
      <c r="C985" s="87"/>
      <c r="D985" s="88"/>
      <c r="E985" s="89"/>
      <c r="F985" s="87"/>
      <c r="G985" s="90"/>
      <c r="H985" s="87"/>
      <c r="I985" s="87"/>
      <c r="J985" s="87"/>
      <c r="K985" s="87"/>
    </row>
    <row r="986" ht="15.75" customHeight="1">
      <c r="A986" s="83"/>
      <c r="B986" s="83"/>
      <c r="C986" s="83"/>
      <c r="D986" s="84"/>
      <c r="E986" s="85"/>
      <c r="F986" s="83"/>
      <c r="G986" s="86"/>
      <c r="H986" s="83"/>
      <c r="I986" s="83"/>
      <c r="J986" s="83"/>
      <c r="K986" s="83"/>
    </row>
    <row r="987" ht="15.75" customHeight="1">
      <c r="A987" s="87"/>
      <c r="B987" s="87"/>
      <c r="C987" s="87"/>
      <c r="D987" s="88"/>
      <c r="E987" s="89"/>
      <c r="F987" s="87"/>
      <c r="G987" s="90"/>
      <c r="H987" s="87"/>
      <c r="I987" s="87"/>
      <c r="J987" s="87"/>
      <c r="K987" s="87"/>
    </row>
    <row r="988" ht="15.75" customHeight="1">
      <c r="A988" s="83"/>
      <c r="B988" s="83"/>
      <c r="C988" s="83"/>
      <c r="D988" s="84"/>
      <c r="E988" s="85"/>
      <c r="F988" s="83"/>
      <c r="G988" s="86"/>
      <c r="H988" s="83"/>
      <c r="I988" s="83"/>
      <c r="J988" s="83"/>
      <c r="K988" s="83"/>
    </row>
    <row r="989" ht="15.75" customHeight="1">
      <c r="A989" s="87"/>
      <c r="B989" s="87"/>
      <c r="C989" s="87"/>
      <c r="D989" s="88"/>
      <c r="E989" s="89"/>
      <c r="F989" s="87"/>
      <c r="G989" s="90"/>
      <c r="H989" s="87"/>
      <c r="I989" s="87"/>
      <c r="J989" s="87"/>
      <c r="K989" s="87"/>
    </row>
    <row r="990" ht="15.75" customHeight="1">
      <c r="A990" s="83"/>
      <c r="B990" s="83"/>
      <c r="C990" s="83"/>
      <c r="D990" s="84"/>
      <c r="E990" s="85"/>
      <c r="F990" s="83"/>
      <c r="G990" s="86"/>
      <c r="H990" s="83"/>
      <c r="I990" s="83"/>
      <c r="J990" s="83"/>
      <c r="K990" s="83"/>
    </row>
    <row r="991" ht="15.75" customHeight="1">
      <c r="A991" s="87"/>
      <c r="B991" s="87"/>
      <c r="C991" s="87"/>
      <c r="D991" s="88"/>
      <c r="E991" s="89"/>
      <c r="F991" s="87"/>
      <c r="G991" s="90"/>
      <c r="H991" s="87"/>
      <c r="I991" s="87"/>
      <c r="J991" s="87"/>
      <c r="K991" s="87"/>
    </row>
    <row r="992" ht="15.75" customHeight="1">
      <c r="A992" s="83"/>
      <c r="B992" s="83"/>
      <c r="C992" s="83"/>
      <c r="D992" s="84"/>
      <c r="E992" s="85"/>
      <c r="F992" s="83"/>
      <c r="G992" s="86"/>
      <c r="H992" s="83"/>
      <c r="I992" s="83"/>
      <c r="J992" s="83"/>
      <c r="K992" s="83"/>
    </row>
    <row r="993" ht="15.75" customHeight="1">
      <c r="A993" s="87"/>
      <c r="B993" s="87"/>
      <c r="C993" s="87"/>
      <c r="D993" s="88"/>
      <c r="E993" s="89"/>
      <c r="F993" s="87"/>
      <c r="G993" s="90"/>
      <c r="H993" s="87"/>
      <c r="I993" s="87"/>
      <c r="J993" s="87"/>
      <c r="K993" s="87"/>
    </row>
    <row r="994" ht="15.75" customHeight="1">
      <c r="A994" s="83"/>
      <c r="B994" s="83"/>
      <c r="C994" s="83"/>
      <c r="D994" s="84"/>
      <c r="E994" s="85"/>
      <c r="F994" s="83"/>
      <c r="G994" s="86"/>
      <c r="H994" s="83"/>
      <c r="I994" s="83"/>
      <c r="J994" s="83"/>
      <c r="K994" s="83"/>
    </row>
    <row r="995" ht="15.75" customHeight="1">
      <c r="A995" s="87"/>
      <c r="B995" s="87"/>
      <c r="C995" s="87"/>
      <c r="D995" s="88"/>
      <c r="E995" s="89"/>
      <c r="F995" s="87"/>
      <c r="G995" s="90"/>
      <c r="H995" s="87"/>
      <c r="I995" s="87"/>
      <c r="J995" s="87"/>
      <c r="K995" s="87"/>
    </row>
    <row r="996" ht="15.75" customHeight="1">
      <c r="A996" s="83"/>
      <c r="B996" s="83"/>
      <c r="C996" s="83"/>
      <c r="D996" s="84"/>
      <c r="E996" s="85"/>
      <c r="F996" s="83"/>
      <c r="G996" s="86"/>
      <c r="H996" s="83"/>
      <c r="I996" s="83"/>
      <c r="J996" s="83"/>
      <c r="K996" s="83"/>
    </row>
    <row r="997" ht="15.75" customHeight="1">
      <c r="A997" s="87"/>
      <c r="B997" s="87"/>
      <c r="C997" s="87"/>
      <c r="D997" s="88"/>
      <c r="E997" s="89"/>
      <c r="F997" s="87"/>
      <c r="G997" s="90"/>
      <c r="H997" s="87"/>
      <c r="I997" s="87"/>
      <c r="J997" s="87"/>
      <c r="K997" s="87"/>
    </row>
    <row r="998" ht="15.75" customHeight="1">
      <c r="A998" s="83"/>
      <c r="B998" s="83"/>
      <c r="C998" s="83"/>
      <c r="D998" s="84"/>
      <c r="E998" s="85"/>
      <c r="F998" s="83"/>
      <c r="G998" s="86"/>
      <c r="H998" s="83"/>
      <c r="I998" s="83"/>
      <c r="J998" s="83"/>
      <c r="K998" s="83"/>
    </row>
    <row r="999" ht="15.75" customHeight="1">
      <c r="A999" s="87"/>
      <c r="B999" s="87"/>
      <c r="C999" s="87"/>
      <c r="D999" s="88"/>
      <c r="E999" s="89"/>
      <c r="F999" s="87"/>
      <c r="G999" s="90"/>
      <c r="H999" s="87"/>
      <c r="I999" s="87"/>
      <c r="J999" s="87"/>
      <c r="K999" s="87"/>
    </row>
    <row r="1000" ht="15.75" customHeight="1">
      <c r="A1000" s="83"/>
      <c r="B1000" s="83"/>
      <c r="C1000" s="83"/>
      <c r="D1000" s="84"/>
      <c r="E1000" s="85"/>
      <c r="F1000" s="83"/>
      <c r="G1000" s="86"/>
      <c r="H1000" s="83"/>
      <c r="I1000" s="83"/>
      <c r="J1000" s="83"/>
      <c r="K1000" s="83"/>
    </row>
    <row r="1001" ht="15.75" customHeight="1">
      <c r="A1001" s="87"/>
      <c r="B1001" s="87"/>
      <c r="C1001" s="87"/>
      <c r="D1001" s="88"/>
      <c r="E1001" s="89"/>
      <c r="F1001" s="87"/>
      <c r="G1001" s="90"/>
      <c r="H1001" s="87"/>
      <c r="I1001" s="87"/>
      <c r="J1001" s="87"/>
      <c r="K1001" s="87"/>
    </row>
    <row r="1002" ht="15.75" customHeight="1">
      <c r="A1002" s="83"/>
      <c r="B1002" s="83"/>
      <c r="C1002" s="83"/>
      <c r="D1002" s="84"/>
      <c r="E1002" s="85"/>
      <c r="F1002" s="83"/>
      <c r="G1002" s="86"/>
      <c r="H1002" s="83"/>
      <c r="I1002" s="83"/>
      <c r="J1002" s="83"/>
      <c r="K1002" s="83"/>
    </row>
    <row r="1003" ht="15.75" customHeight="1">
      <c r="A1003" s="87"/>
      <c r="B1003" s="87"/>
      <c r="C1003" s="87"/>
      <c r="D1003" s="88"/>
      <c r="E1003" s="89"/>
      <c r="F1003" s="87"/>
      <c r="G1003" s="90"/>
      <c r="H1003" s="87"/>
      <c r="I1003" s="87"/>
      <c r="J1003" s="87"/>
      <c r="K1003" s="87"/>
    </row>
    <row r="1004" ht="15.75" customHeight="1">
      <c r="A1004" s="83"/>
      <c r="B1004" s="83"/>
      <c r="C1004" s="83"/>
      <c r="D1004" s="84"/>
      <c r="E1004" s="85"/>
      <c r="F1004" s="83"/>
      <c r="G1004" s="86"/>
      <c r="H1004" s="83"/>
      <c r="I1004" s="83"/>
      <c r="J1004" s="83"/>
      <c r="K1004" s="83"/>
    </row>
    <row r="1005" ht="15.75" customHeight="1">
      <c r="A1005" s="87"/>
      <c r="B1005" s="87"/>
      <c r="C1005" s="87"/>
      <c r="D1005" s="88"/>
      <c r="E1005" s="89"/>
      <c r="F1005" s="87"/>
      <c r="G1005" s="90"/>
      <c r="H1005" s="87"/>
      <c r="I1005" s="87"/>
      <c r="J1005" s="87"/>
      <c r="K1005" s="87"/>
    </row>
    <row r="1006" ht="15.75" customHeight="1">
      <c r="A1006" s="83"/>
      <c r="B1006" s="83"/>
      <c r="C1006" s="83"/>
      <c r="D1006" s="84"/>
      <c r="E1006" s="85"/>
      <c r="F1006" s="83"/>
      <c r="G1006" s="86"/>
      <c r="H1006" s="83"/>
      <c r="I1006" s="83"/>
      <c r="J1006" s="83"/>
      <c r="K1006" s="83"/>
    </row>
    <row r="1007" ht="15.75" customHeight="1">
      <c r="A1007" s="87"/>
      <c r="B1007" s="87"/>
      <c r="C1007" s="87"/>
      <c r="D1007" s="88"/>
      <c r="E1007" s="89"/>
      <c r="F1007" s="87"/>
      <c r="G1007" s="90"/>
      <c r="H1007" s="87"/>
      <c r="I1007" s="87"/>
      <c r="J1007" s="87"/>
      <c r="K1007" s="87"/>
    </row>
    <row r="1008" ht="15.75" customHeight="1">
      <c r="A1008" s="83"/>
      <c r="B1008" s="83"/>
      <c r="C1008" s="83"/>
      <c r="D1008" s="84"/>
      <c r="E1008" s="85"/>
      <c r="F1008" s="83"/>
      <c r="G1008" s="86"/>
      <c r="H1008" s="83"/>
      <c r="I1008" s="83"/>
      <c r="J1008" s="83"/>
      <c r="K1008" s="83"/>
    </row>
    <row r="1009" ht="15.75" customHeight="1">
      <c r="A1009" s="87"/>
      <c r="B1009" s="87"/>
      <c r="C1009" s="87"/>
      <c r="D1009" s="88"/>
      <c r="E1009" s="89"/>
      <c r="F1009" s="87"/>
      <c r="G1009" s="90"/>
      <c r="H1009" s="87"/>
      <c r="I1009" s="87"/>
      <c r="J1009" s="87"/>
      <c r="K1009" s="87"/>
    </row>
    <row r="1010" ht="15.75" customHeight="1">
      <c r="A1010" s="83"/>
      <c r="B1010" s="83"/>
      <c r="C1010" s="83"/>
      <c r="D1010" s="84"/>
      <c r="E1010" s="85"/>
      <c r="F1010" s="83"/>
      <c r="G1010" s="86"/>
      <c r="H1010" s="83"/>
      <c r="I1010" s="83"/>
      <c r="J1010" s="83"/>
      <c r="K1010" s="83"/>
    </row>
    <row r="1011" ht="15.75" customHeight="1">
      <c r="A1011" s="87"/>
      <c r="B1011" s="87"/>
      <c r="C1011" s="87"/>
      <c r="D1011" s="88"/>
      <c r="E1011" s="89"/>
      <c r="F1011" s="87"/>
      <c r="G1011" s="90"/>
      <c r="H1011" s="87"/>
      <c r="I1011" s="87"/>
      <c r="J1011" s="87"/>
      <c r="K1011" s="87"/>
    </row>
    <row r="1012" ht="15.75" customHeight="1">
      <c r="A1012" s="83"/>
      <c r="B1012" s="83"/>
      <c r="C1012" s="83"/>
      <c r="D1012" s="84"/>
      <c r="E1012" s="85"/>
      <c r="F1012" s="83"/>
      <c r="G1012" s="86"/>
      <c r="H1012" s="83"/>
      <c r="I1012" s="83"/>
      <c r="J1012" s="83"/>
      <c r="K1012" s="83"/>
    </row>
    <row r="1013" ht="15.75" customHeight="1">
      <c r="A1013" s="87"/>
      <c r="B1013" s="87"/>
      <c r="C1013" s="87"/>
      <c r="D1013" s="88"/>
      <c r="E1013" s="89"/>
      <c r="F1013" s="87"/>
      <c r="G1013" s="90"/>
      <c r="H1013" s="87"/>
      <c r="I1013" s="87"/>
      <c r="J1013" s="87"/>
      <c r="K1013" s="87"/>
    </row>
    <row r="1014" ht="15.75" customHeight="1">
      <c r="A1014" s="83"/>
      <c r="B1014" s="83"/>
      <c r="C1014" s="83"/>
      <c r="D1014" s="84"/>
      <c r="E1014" s="85"/>
      <c r="F1014" s="83"/>
      <c r="G1014" s="86"/>
      <c r="H1014" s="83"/>
      <c r="I1014" s="83"/>
      <c r="J1014" s="83"/>
      <c r="K1014" s="83"/>
    </row>
    <row r="1015" ht="15.75" customHeight="1">
      <c r="A1015" s="87"/>
      <c r="B1015" s="87"/>
      <c r="C1015" s="87"/>
      <c r="D1015" s="88"/>
      <c r="E1015" s="89"/>
      <c r="F1015" s="87"/>
      <c r="G1015" s="90"/>
      <c r="H1015" s="87"/>
      <c r="I1015" s="87"/>
      <c r="J1015" s="87"/>
      <c r="K1015" s="87"/>
    </row>
    <row r="1016" ht="15.75" customHeight="1">
      <c r="A1016" s="83"/>
      <c r="B1016" s="83"/>
      <c r="C1016" s="83"/>
      <c r="D1016" s="84"/>
      <c r="E1016" s="85"/>
      <c r="F1016" s="83"/>
      <c r="G1016" s="86"/>
      <c r="H1016" s="83"/>
      <c r="I1016" s="83"/>
      <c r="J1016" s="83"/>
      <c r="K1016" s="83"/>
    </row>
    <row r="1017" ht="15.75" customHeight="1">
      <c r="A1017" s="87"/>
      <c r="B1017" s="87"/>
      <c r="C1017" s="87"/>
      <c r="D1017" s="88"/>
      <c r="E1017" s="89"/>
      <c r="F1017" s="87"/>
      <c r="G1017" s="90"/>
      <c r="H1017" s="87"/>
      <c r="I1017" s="87"/>
      <c r="J1017" s="87"/>
      <c r="K1017" s="87"/>
    </row>
    <row r="1018" ht="15.75" customHeight="1">
      <c r="A1018" s="83"/>
      <c r="B1018" s="83"/>
      <c r="C1018" s="83"/>
      <c r="D1018" s="84"/>
      <c r="E1018" s="85"/>
      <c r="F1018" s="83"/>
      <c r="G1018" s="86"/>
      <c r="H1018" s="83"/>
      <c r="I1018" s="83"/>
      <c r="J1018" s="83"/>
      <c r="K1018" s="83"/>
    </row>
    <row r="1019" ht="15.75" customHeight="1">
      <c r="A1019" s="87"/>
      <c r="B1019" s="87"/>
      <c r="C1019" s="87"/>
      <c r="D1019" s="88"/>
      <c r="E1019" s="89"/>
      <c r="F1019" s="87"/>
      <c r="G1019" s="90"/>
      <c r="H1019" s="87"/>
      <c r="I1019" s="87"/>
      <c r="J1019" s="87"/>
      <c r="K1019" s="87"/>
    </row>
    <row r="1020" ht="15.75" customHeight="1">
      <c r="A1020" s="83"/>
      <c r="B1020" s="83"/>
      <c r="C1020" s="83"/>
      <c r="D1020" s="84"/>
      <c r="E1020" s="85"/>
      <c r="F1020" s="83"/>
      <c r="G1020" s="86"/>
      <c r="H1020" s="83"/>
      <c r="I1020" s="83"/>
      <c r="J1020" s="83"/>
      <c r="K1020" s="83"/>
    </row>
    <row r="1021" ht="15.75" customHeight="1">
      <c r="A1021" s="87"/>
      <c r="B1021" s="87"/>
      <c r="C1021" s="87"/>
      <c r="D1021" s="88"/>
      <c r="E1021" s="89"/>
      <c r="F1021" s="87"/>
      <c r="G1021" s="90"/>
      <c r="H1021" s="87"/>
      <c r="I1021" s="87"/>
      <c r="J1021" s="87"/>
      <c r="K1021" s="87"/>
    </row>
    <row r="1022" ht="15.75" customHeight="1">
      <c r="A1022" s="83"/>
      <c r="B1022" s="83"/>
      <c r="C1022" s="83"/>
      <c r="D1022" s="84"/>
      <c r="E1022" s="85"/>
      <c r="F1022" s="83"/>
      <c r="G1022" s="86"/>
      <c r="H1022" s="83"/>
      <c r="I1022" s="83"/>
      <c r="J1022" s="83"/>
      <c r="K1022" s="83"/>
    </row>
    <row r="1023" ht="15.75" customHeight="1">
      <c r="A1023" s="87"/>
      <c r="B1023" s="87"/>
      <c r="C1023" s="87"/>
      <c r="D1023" s="88"/>
      <c r="E1023" s="89"/>
      <c r="F1023" s="87"/>
      <c r="G1023" s="90"/>
      <c r="H1023" s="87"/>
      <c r="I1023" s="87"/>
      <c r="J1023" s="87"/>
      <c r="K1023" s="87"/>
    </row>
    <row r="1024" ht="15.75" customHeight="1">
      <c r="A1024" s="83"/>
      <c r="B1024" s="83"/>
      <c r="C1024" s="83"/>
      <c r="D1024" s="84"/>
      <c r="E1024" s="85"/>
      <c r="F1024" s="83"/>
      <c r="G1024" s="86"/>
      <c r="H1024" s="83"/>
      <c r="I1024" s="83"/>
      <c r="J1024" s="83"/>
      <c r="K1024" s="83"/>
    </row>
    <row r="1025" ht="15.75" customHeight="1">
      <c r="A1025" s="87"/>
      <c r="B1025" s="87"/>
      <c r="C1025" s="87"/>
      <c r="D1025" s="88"/>
      <c r="E1025" s="89"/>
      <c r="F1025" s="87"/>
      <c r="G1025" s="90"/>
      <c r="H1025" s="87"/>
      <c r="I1025" s="87"/>
      <c r="J1025" s="87"/>
      <c r="K1025" s="87"/>
    </row>
    <row r="1026" ht="15.75" customHeight="1">
      <c r="A1026" s="83"/>
      <c r="B1026" s="83"/>
      <c r="C1026" s="83"/>
      <c r="D1026" s="84"/>
      <c r="E1026" s="85"/>
      <c r="F1026" s="83"/>
      <c r="G1026" s="86"/>
      <c r="H1026" s="83"/>
      <c r="I1026" s="83"/>
      <c r="J1026" s="83"/>
      <c r="K1026" s="83"/>
    </row>
    <row r="1027" ht="15.75" customHeight="1">
      <c r="A1027" s="87"/>
      <c r="B1027" s="87"/>
      <c r="C1027" s="87"/>
      <c r="D1027" s="88"/>
      <c r="E1027" s="89"/>
      <c r="F1027" s="87"/>
      <c r="G1027" s="90"/>
      <c r="H1027" s="87"/>
      <c r="I1027" s="87"/>
      <c r="J1027" s="87"/>
      <c r="K1027" s="87"/>
    </row>
    <row r="1028" ht="15.75" customHeight="1">
      <c r="A1028" s="83"/>
      <c r="B1028" s="83"/>
      <c r="C1028" s="83"/>
      <c r="D1028" s="84"/>
      <c r="E1028" s="85"/>
      <c r="F1028" s="83"/>
      <c r="G1028" s="86"/>
      <c r="H1028" s="83"/>
      <c r="I1028" s="83"/>
      <c r="J1028" s="83"/>
      <c r="K1028" s="83"/>
    </row>
    <row r="1029" ht="15.75" customHeight="1">
      <c r="A1029" s="87"/>
      <c r="B1029" s="87"/>
      <c r="C1029" s="87"/>
      <c r="D1029" s="88"/>
      <c r="E1029" s="89"/>
      <c r="F1029" s="87"/>
      <c r="G1029" s="90"/>
      <c r="H1029" s="87"/>
      <c r="I1029" s="87"/>
      <c r="J1029" s="87"/>
      <c r="K1029" s="87"/>
    </row>
    <row r="1030" ht="15.75" customHeight="1">
      <c r="A1030" s="83"/>
      <c r="B1030" s="83"/>
      <c r="C1030" s="83"/>
      <c r="D1030" s="84"/>
      <c r="E1030" s="85"/>
      <c r="F1030" s="83"/>
      <c r="G1030" s="86"/>
      <c r="H1030" s="83"/>
      <c r="I1030" s="83"/>
      <c r="J1030" s="83"/>
      <c r="K1030" s="83"/>
    </row>
    <row r="1031" ht="15.75" customHeight="1">
      <c r="A1031" s="87"/>
      <c r="B1031" s="87"/>
      <c r="C1031" s="87"/>
      <c r="D1031" s="88"/>
      <c r="E1031" s="89"/>
      <c r="F1031" s="87"/>
      <c r="G1031" s="90"/>
      <c r="H1031" s="87"/>
      <c r="I1031" s="87"/>
      <c r="J1031" s="87"/>
      <c r="K1031" s="87"/>
    </row>
    <row r="1032" ht="15.75" customHeight="1">
      <c r="A1032" s="83"/>
      <c r="B1032" s="83"/>
      <c r="C1032" s="83"/>
      <c r="D1032" s="84"/>
      <c r="E1032" s="85"/>
      <c r="F1032" s="83"/>
      <c r="G1032" s="86"/>
      <c r="H1032" s="83"/>
      <c r="I1032" s="83"/>
      <c r="J1032" s="83"/>
      <c r="K1032" s="83"/>
    </row>
    <row r="1033" ht="15.75" customHeight="1">
      <c r="A1033" s="87"/>
      <c r="B1033" s="87"/>
      <c r="C1033" s="87"/>
      <c r="D1033" s="88"/>
      <c r="E1033" s="89"/>
      <c r="F1033" s="87"/>
      <c r="G1033" s="90"/>
      <c r="H1033" s="87"/>
      <c r="I1033" s="87"/>
      <c r="J1033" s="87"/>
      <c r="K1033" s="87"/>
    </row>
    <row r="1034" ht="15.75" customHeight="1">
      <c r="A1034" s="83"/>
      <c r="B1034" s="83"/>
      <c r="C1034" s="83"/>
      <c r="D1034" s="84"/>
      <c r="E1034" s="85"/>
      <c r="F1034" s="83"/>
      <c r="G1034" s="86"/>
      <c r="H1034" s="83"/>
      <c r="I1034" s="83"/>
      <c r="J1034" s="83"/>
      <c r="K1034" s="83"/>
    </row>
    <row r="1035" ht="15.75" customHeight="1">
      <c r="A1035" s="87"/>
      <c r="B1035" s="87"/>
      <c r="C1035" s="87"/>
      <c r="D1035" s="88"/>
      <c r="E1035" s="89"/>
      <c r="F1035" s="87"/>
      <c r="G1035" s="90"/>
      <c r="H1035" s="87"/>
      <c r="I1035" s="87"/>
      <c r="J1035" s="87"/>
      <c r="K1035" s="87"/>
    </row>
    <row r="1036" ht="15.75" customHeight="1">
      <c r="A1036" s="83"/>
      <c r="B1036" s="83"/>
      <c r="C1036" s="83"/>
      <c r="D1036" s="84"/>
      <c r="E1036" s="85"/>
      <c r="F1036" s="83"/>
      <c r="G1036" s="86"/>
      <c r="H1036" s="83"/>
      <c r="I1036" s="83"/>
      <c r="J1036" s="83"/>
      <c r="K1036" s="83"/>
    </row>
    <row r="1037" ht="15.75" customHeight="1">
      <c r="A1037" s="87"/>
      <c r="B1037" s="87"/>
      <c r="C1037" s="87"/>
      <c r="D1037" s="88"/>
      <c r="E1037" s="89"/>
      <c r="F1037" s="87"/>
      <c r="G1037" s="90"/>
      <c r="H1037" s="87"/>
      <c r="I1037" s="87"/>
      <c r="J1037" s="87"/>
      <c r="K1037" s="87"/>
    </row>
    <row r="1038" ht="15.75" customHeight="1">
      <c r="A1038" s="83"/>
      <c r="B1038" s="83"/>
      <c r="C1038" s="83"/>
      <c r="D1038" s="84"/>
      <c r="E1038" s="85"/>
      <c r="F1038" s="83"/>
      <c r="G1038" s="86"/>
      <c r="H1038" s="83"/>
      <c r="I1038" s="83"/>
      <c r="J1038" s="83"/>
      <c r="K1038" s="83"/>
    </row>
    <row r="1039" ht="15.75" customHeight="1">
      <c r="A1039" s="87"/>
      <c r="B1039" s="87"/>
      <c r="C1039" s="87"/>
      <c r="D1039" s="88"/>
      <c r="E1039" s="89"/>
      <c r="F1039" s="87"/>
      <c r="G1039" s="90"/>
      <c r="H1039" s="87"/>
      <c r="I1039" s="87"/>
      <c r="J1039" s="87"/>
      <c r="K1039" s="87"/>
    </row>
    <row r="1040" ht="15.75" customHeight="1">
      <c r="A1040" s="83"/>
      <c r="B1040" s="83"/>
      <c r="C1040" s="83"/>
      <c r="D1040" s="84"/>
      <c r="E1040" s="85"/>
      <c r="F1040" s="83"/>
      <c r="G1040" s="86"/>
      <c r="H1040" s="83"/>
      <c r="I1040" s="83"/>
      <c r="J1040" s="83"/>
      <c r="K1040" s="83"/>
    </row>
    <row r="1041" ht="15.75" customHeight="1">
      <c r="A1041" s="87"/>
      <c r="B1041" s="87"/>
      <c r="C1041" s="87"/>
      <c r="D1041" s="88"/>
      <c r="E1041" s="89"/>
      <c r="F1041" s="87"/>
      <c r="G1041" s="90"/>
      <c r="H1041" s="87"/>
      <c r="I1041" s="87"/>
      <c r="J1041" s="87"/>
      <c r="K1041" s="87"/>
    </row>
    <row r="1042" ht="15.75" customHeight="1">
      <c r="A1042" s="83"/>
      <c r="B1042" s="83"/>
      <c r="C1042" s="83"/>
      <c r="D1042" s="84"/>
      <c r="E1042" s="85"/>
      <c r="F1042" s="83"/>
      <c r="G1042" s="86"/>
      <c r="H1042" s="83"/>
      <c r="I1042" s="83"/>
      <c r="J1042" s="83"/>
      <c r="K1042" s="83"/>
    </row>
    <row r="1043" ht="15.75" customHeight="1">
      <c r="A1043" s="87"/>
      <c r="B1043" s="87"/>
      <c r="C1043" s="87"/>
      <c r="D1043" s="88"/>
      <c r="E1043" s="89"/>
      <c r="F1043" s="87"/>
      <c r="G1043" s="90"/>
      <c r="H1043" s="87"/>
      <c r="I1043" s="87"/>
      <c r="J1043" s="87"/>
      <c r="K1043" s="87"/>
    </row>
    <row r="1044" ht="15.75" customHeight="1">
      <c r="A1044" s="83"/>
      <c r="B1044" s="83"/>
      <c r="C1044" s="83"/>
      <c r="D1044" s="84"/>
      <c r="E1044" s="85"/>
      <c r="F1044" s="83"/>
      <c r="G1044" s="86"/>
      <c r="H1044" s="83"/>
      <c r="I1044" s="83"/>
      <c r="J1044" s="83"/>
      <c r="K1044" s="83"/>
    </row>
    <row r="1045" ht="15.75" customHeight="1">
      <c r="A1045" s="87"/>
      <c r="B1045" s="87"/>
      <c r="C1045" s="87"/>
      <c r="D1045" s="88"/>
      <c r="E1045" s="89"/>
      <c r="F1045" s="87"/>
      <c r="G1045" s="90"/>
      <c r="H1045" s="87"/>
      <c r="I1045" s="87"/>
      <c r="J1045" s="87"/>
      <c r="K1045" s="87"/>
    </row>
    <row r="1046" ht="15.75" customHeight="1">
      <c r="A1046" s="83"/>
      <c r="B1046" s="83"/>
      <c r="C1046" s="83"/>
      <c r="D1046" s="84"/>
      <c r="E1046" s="85"/>
      <c r="F1046" s="83"/>
      <c r="G1046" s="86"/>
      <c r="H1046" s="83"/>
      <c r="I1046" s="83"/>
      <c r="J1046" s="83"/>
      <c r="K1046" s="83"/>
    </row>
    <row r="1047" ht="15.75" customHeight="1">
      <c r="A1047" s="87"/>
      <c r="B1047" s="87"/>
      <c r="C1047" s="87"/>
      <c r="D1047" s="88"/>
      <c r="E1047" s="89"/>
      <c r="F1047" s="87"/>
      <c r="G1047" s="90"/>
      <c r="H1047" s="87"/>
      <c r="I1047" s="87"/>
      <c r="J1047" s="87"/>
      <c r="K1047" s="87"/>
    </row>
    <row r="1048" ht="15.75" customHeight="1">
      <c r="A1048" s="83"/>
      <c r="B1048" s="83"/>
      <c r="C1048" s="83"/>
      <c r="D1048" s="84"/>
      <c r="E1048" s="85"/>
      <c r="F1048" s="83"/>
      <c r="G1048" s="86"/>
      <c r="H1048" s="83"/>
      <c r="I1048" s="83"/>
      <c r="J1048" s="83"/>
      <c r="K1048" s="83"/>
    </row>
    <row r="1049" ht="15.75" customHeight="1">
      <c r="A1049" s="87"/>
      <c r="B1049" s="87"/>
      <c r="C1049" s="87"/>
      <c r="D1049" s="88"/>
      <c r="E1049" s="89"/>
      <c r="F1049" s="87"/>
      <c r="G1049" s="90"/>
      <c r="H1049" s="87"/>
      <c r="I1049" s="87"/>
      <c r="J1049" s="87"/>
      <c r="K1049" s="87"/>
    </row>
    <row r="1050" ht="15.75" customHeight="1">
      <c r="A1050" s="83"/>
      <c r="B1050" s="83"/>
      <c r="C1050" s="83"/>
      <c r="D1050" s="84"/>
      <c r="E1050" s="85"/>
      <c r="F1050" s="83"/>
      <c r="G1050" s="86"/>
      <c r="H1050" s="83"/>
      <c r="I1050" s="83"/>
      <c r="J1050" s="83"/>
      <c r="K1050" s="83"/>
    </row>
    <row r="1051" ht="15.75" customHeight="1">
      <c r="A1051" s="87"/>
      <c r="B1051" s="87"/>
      <c r="C1051" s="87"/>
      <c r="D1051" s="88"/>
      <c r="E1051" s="89"/>
      <c r="F1051" s="87"/>
      <c r="G1051" s="90"/>
      <c r="H1051" s="87"/>
      <c r="I1051" s="87"/>
      <c r="J1051" s="87"/>
      <c r="K1051" s="87"/>
    </row>
    <row r="1052" ht="15.75" customHeight="1">
      <c r="A1052" s="83"/>
      <c r="B1052" s="83"/>
      <c r="C1052" s="83"/>
      <c r="D1052" s="84"/>
      <c r="E1052" s="85"/>
      <c r="F1052" s="83"/>
      <c r="G1052" s="86"/>
      <c r="H1052" s="83"/>
      <c r="I1052" s="83"/>
      <c r="J1052" s="83"/>
      <c r="K1052" s="83"/>
    </row>
    <row r="1053" ht="15.75" customHeight="1">
      <c r="A1053" s="87"/>
      <c r="B1053" s="87"/>
      <c r="C1053" s="87"/>
      <c r="D1053" s="88"/>
      <c r="E1053" s="89"/>
      <c r="F1053" s="87"/>
      <c r="G1053" s="90"/>
      <c r="H1053" s="87"/>
      <c r="I1053" s="87"/>
      <c r="J1053" s="87"/>
      <c r="K1053" s="87"/>
    </row>
    <row r="1054" ht="15.75" customHeight="1">
      <c r="A1054" s="83"/>
      <c r="B1054" s="83"/>
      <c r="C1054" s="83"/>
      <c r="D1054" s="84"/>
      <c r="E1054" s="85"/>
      <c r="F1054" s="83"/>
      <c r="G1054" s="86"/>
      <c r="H1054" s="83"/>
      <c r="I1054" s="83"/>
      <c r="J1054" s="83"/>
      <c r="K1054" s="83"/>
    </row>
    <row r="1055" ht="15.75" customHeight="1">
      <c r="A1055" s="87"/>
      <c r="B1055" s="87"/>
      <c r="C1055" s="87"/>
      <c r="D1055" s="88"/>
      <c r="E1055" s="89"/>
      <c r="F1055" s="87"/>
      <c r="G1055" s="90"/>
      <c r="H1055" s="87"/>
      <c r="I1055" s="87"/>
      <c r="J1055" s="87"/>
      <c r="K1055" s="87"/>
    </row>
    <row r="1056" ht="15.75" customHeight="1">
      <c r="A1056" s="83"/>
      <c r="B1056" s="83"/>
      <c r="C1056" s="83"/>
      <c r="D1056" s="84"/>
      <c r="E1056" s="85"/>
      <c r="F1056" s="83"/>
      <c r="G1056" s="86"/>
      <c r="H1056" s="83"/>
      <c r="I1056" s="83"/>
      <c r="J1056" s="83"/>
      <c r="K1056" s="83"/>
    </row>
    <row r="1057" ht="15.75" customHeight="1">
      <c r="A1057" s="87"/>
      <c r="B1057" s="87"/>
      <c r="C1057" s="87"/>
      <c r="D1057" s="88"/>
      <c r="E1057" s="89"/>
      <c r="F1057" s="87"/>
      <c r="G1057" s="90"/>
      <c r="H1057" s="87"/>
      <c r="I1057" s="87"/>
      <c r="J1057" s="87"/>
      <c r="K1057" s="87"/>
    </row>
  </sheetData>
  <mergeCells count="1">
    <mergeCell ref="A1:K1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2.0"/>
    <col customWidth="1" min="3" max="3" width="80.0"/>
  </cols>
  <sheetData>
    <row r="1" ht="30.0" customHeight="1">
      <c r="A1" s="1" t="s">
        <v>402</v>
      </c>
    </row>
    <row r="3">
      <c r="A3" s="33" t="s">
        <v>403</v>
      </c>
      <c r="B3" s="33" t="s">
        <v>194</v>
      </c>
      <c r="C3" s="33" t="s">
        <v>369</v>
      </c>
    </row>
    <row r="4">
      <c r="A4" s="72" t="s">
        <v>404</v>
      </c>
      <c r="B4" s="41" t="s">
        <v>405</v>
      </c>
      <c r="C4" s="72" t="s">
        <v>406</v>
      </c>
    </row>
    <row r="5">
      <c r="A5" s="72" t="s">
        <v>407</v>
      </c>
      <c r="B5" s="91">
        <v>0.3576388888888889</v>
      </c>
      <c r="C5" s="72" t="s">
        <v>408</v>
      </c>
    </row>
    <row r="6">
      <c r="A6" s="72" t="s">
        <v>409</v>
      </c>
      <c r="B6" s="46">
        <v>10.0</v>
      </c>
      <c r="C6" s="72" t="s">
        <v>410</v>
      </c>
    </row>
    <row r="7">
      <c r="A7" s="72" t="s">
        <v>411</v>
      </c>
      <c r="B7" s="37">
        <v>-10.0</v>
      </c>
      <c r="C7" s="72" t="s">
        <v>412</v>
      </c>
    </row>
    <row r="8">
      <c r="A8" s="72" t="s">
        <v>413</v>
      </c>
      <c r="B8" s="46">
        <v>50.0</v>
      </c>
      <c r="C8" s="72" t="s">
        <v>414</v>
      </c>
    </row>
    <row r="9">
      <c r="A9" s="72" t="s">
        <v>415</v>
      </c>
      <c r="B9" s="46">
        <v>100.0</v>
      </c>
      <c r="C9" s="72" t="s">
        <v>416</v>
      </c>
    </row>
    <row r="10">
      <c r="A10" s="72" t="s">
        <v>417</v>
      </c>
      <c r="B10" s="41">
        <v>250.0</v>
      </c>
      <c r="C10" s="72" t="s">
        <v>418</v>
      </c>
    </row>
    <row r="11">
      <c r="A11" s="72" t="s">
        <v>419</v>
      </c>
      <c r="B11" s="41" t="s">
        <v>66</v>
      </c>
      <c r="C11" s="72" t="s">
        <v>420</v>
      </c>
    </row>
    <row r="12">
      <c r="A12" s="72" t="s">
        <v>421</v>
      </c>
      <c r="B12" s="41" t="s">
        <v>422</v>
      </c>
      <c r="C12" s="72" t="s">
        <v>423</v>
      </c>
    </row>
    <row r="13">
      <c r="A13" s="72" t="s">
        <v>424</v>
      </c>
      <c r="B13" s="41" t="s">
        <v>425</v>
      </c>
      <c r="C13" s="72" t="s">
        <v>426</v>
      </c>
    </row>
    <row r="14">
      <c r="A14" s="72" t="s">
        <v>427</v>
      </c>
      <c r="B14" s="92" t="s">
        <v>428</v>
      </c>
      <c r="C14" s="72" t="s">
        <v>429</v>
      </c>
    </row>
    <row r="15">
      <c r="A15" s="72" t="s">
        <v>430</v>
      </c>
      <c r="B15" s="35" t="b">
        <v>1</v>
      </c>
      <c r="C15" s="72" t="s">
        <v>431</v>
      </c>
    </row>
    <row r="16">
      <c r="A16" s="67" t="s">
        <v>432</v>
      </c>
      <c r="B16" s="35">
        <v>5.0</v>
      </c>
      <c r="C16" s="72"/>
    </row>
    <row r="17">
      <c r="A17" s="67" t="s">
        <v>433</v>
      </c>
      <c r="B17" s="35" t="s">
        <v>434</v>
      </c>
      <c r="C17" s="72"/>
    </row>
    <row r="18">
      <c r="A18" s="67" t="s">
        <v>435</v>
      </c>
      <c r="B18" s="91">
        <v>0.3333333333333333</v>
      </c>
      <c r="C18" s="72"/>
    </row>
    <row r="19">
      <c r="A19" s="67" t="s">
        <v>436</v>
      </c>
      <c r="B19" s="35" t="s">
        <v>437</v>
      </c>
      <c r="C19" s="72"/>
    </row>
  </sheetData>
  <mergeCells count="1">
    <mergeCell ref="A1: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0.0"/>
    <col customWidth="1" min="3" max="3" width="14.0"/>
    <col customWidth="1" min="4" max="4" width="18.0"/>
    <col customWidth="1" min="5" max="7" width="12.0"/>
    <col customWidth="1" min="8" max="8" width="80.0"/>
  </cols>
  <sheetData>
    <row r="1" ht="30.0" customHeight="1">
      <c r="A1" s="1" t="s">
        <v>438</v>
      </c>
    </row>
    <row r="3">
      <c r="A3" s="33" t="s">
        <v>439</v>
      </c>
      <c r="B3" s="33" t="s">
        <v>440</v>
      </c>
      <c r="C3" s="33" t="s">
        <v>38</v>
      </c>
      <c r="D3" s="33" t="s">
        <v>347</v>
      </c>
      <c r="E3" s="33" t="s">
        <v>352</v>
      </c>
      <c r="F3" s="33" t="s">
        <v>357</v>
      </c>
      <c r="G3" s="33" t="s">
        <v>441</v>
      </c>
      <c r="H3" s="33" t="s">
        <v>3</v>
      </c>
    </row>
    <row r="4">
      <c r="A4" s="93"/>
      <c r="B4" s="72"/>
      <c r="C4" s="72"/>
      <c r="D4" s="72"/>
      <c r="E4" s="72"/>
      <c r="F4" s="72"/>
      <c r="G4" s="72"/>
      <c r="H4" s="72"/>
    </row>
    <row r="5">
      <c r="A5" s="93"/>
      <c r="B5" s="72"/>
      <c r="C5" s="72"/>
      <c r="D5" s="72"/>
      <c r="E5" s="72"/>
      <c r="F5" s="72"/>
      <c r="G5" s="72"/>
      <c r="H5" s="72"/>
    </row>
    <row r="6">
      <c r="A6" s="93"/>
      <c r="B6" s="72"/>
      <c r="C6" s="72"/>
      <c r="D6" s="72"/>
      <c r="E6" s="72"/>
      <c r="F6" s="72"/>
      <c r="G6" s="72"/>
      <c r="H6" s="72"/>
    </row>
    <row r="7">
      <c r="A7" s="93"/>
      <c r="B7" s="72"/>
      <c r="C7" s="72"/>
      <c r="D7" s="72"/>
      <c r="E7" s="72"/>
      <c r="F7" s="72"/>
      <c r="G7" s="72"/>
      <c r="H7" s="72"/>
    </row>
    <row r="8">
      <c r="A8" s="93"/>
      <c r="B8" s="72"/>
      <c r="C8" s="72"/>
      <c r="D8" s="72"/>
      <c r="E8" s="72"/>
      <c r="F8" s="72"/>
      <c r="G8" s="72"/>
      <c r="H8" s="72"/>
    </row>
    <row r="9">
      <c r="A9" s="93"/>
      <c r="B9" s="72"/>
      <c r="C9" s="72"/>
      <c r="D9" s="72"/>
      <c r="E9" s="72"/>
      <c r="F9" s="72"/>
      <c r="G9" s="72"/>
      <c r="H9" s="72"/>
    </row>
    <row r="10">
      <c r="A10" s="93"/>
      <c r="B10" s="72"/>
      <c r="C10" s="72"/>
      <c r="D10" s="72"/>
      <c r="E10" s="72"/>
      <c r="F10" s="72"/>
      <c r="G10" s="72"/>
      <c r="H10" s="72"/>
    </row>
    <row r="11">
      <c r="A11" s="93"/>
      <c r="B11" s="72"/>
      <c r="C11" s="72"/>
      <c r="D11" s="72"/>
      <c r="E11" s="72"/>
      <c r="F11" s="72"/>
      <c r="G11" s="72"/>
      <c r="H11" s="72"/>
    </row>
    <row r="12">
      <c r="A12" s="93"/>
      <c r="B12" s="72"/>
      <c r="C12" s="72"/>
      <c r="D12" s="72"/>
      <c r="E12" s="72"/>
      <c r="F12" s="72"/>
      <c r="G12" s="72"/>
      <c r="H12" s="72"/>
    </row>
    <row r="13">
      <c r="A13" s="93"/>
      <c r="B13" s="72"/>
      <c r="C13" s="72"/>
      <c r="D13" s="72"/>
      <c r="E13" s="72"/>
      <c r="F13" s="72"/>
      <c r="G13" s="72"/>
      <c r="H13" s="72"/>
    </row>
    <row r="14">
      <c r="A14" s="93"/>
      <c r="B14" s="72"/>
      <c r="C14" s="72"/>
      <c r="D14" s="72"/>
      <c r="E14" s="72"/>
      <c r="F14" s="72"/>
      <c r="G14" s="72"/>
      <c r="H14" s="72"/>
    </row>
    <row r="15">
      <c r="A15" s="93"/>
      <c r="B15" s="72"/>
      <c r="C15" s="72"/>
      <c r="D15" s="72"/>
      <c r="E15" s="72"/>
      <c r="F15" s="72"/>
      <c r="G15" s="72"/>
      <c r="H15" s="72"/>
    </row>
    <row r="16">
      <c r="A16" s="93"/>
      <c r="B16" s="72"/>
      <c r="C16" s="72"/>
      <c r="D16" s="72"/>
      <c r="E16" s="72"/>
      <c r="F16" s="72"/>
      <c r="G16" s="72"/>
      <c r="H16" s="72"/>
    </row>
    <row r="17">
      <c r="A17" s="93"/>
      <c r="B17" s="72"/>
      <c r="C17" s="72"/>
      <c r="D17" s="72"/>
      <c r="E17" s="72"/>
      <c r="F17" s="72"/>
      <c r="G17" s="72"/>
      <c r="H17" s="72"/>
    </row>
    <row r="18">
      <c r="A18" s="93"/>
      <c r="B18" s="72"/>
      <c r="C18" s="72"/>
      <c r="D18" s="72"/>
      <c r="E18" s="72"/>
      <c r="F18" s="72"/>
      <c r="G18" s="72"/>
      <c r="H18" s="72"/>
    </row>
    <row r="19">
      <c r="A19" s="93"/>
      <c r="B19" s="72"/>
      <c r="C19" s="72"/>
      <c r="D19" s="72"/>
      <c r="E19" s="72"/>
      <c r="F19" s="72"/>
      <c r="G19" s="72"/>
      <c r="H19" s="72"/>
    </row>
    <row r="20">
      <c r="A20" s="93"/>
      <c r="B20" s="72"/>
      <c r="C20" s="72"/>
      <c r="D20" s="72"/>
      <c r="E20" s="72"/>
      <c r="F20" s="72"/>
      <c r="G20" s="72"/>
      <c r="H20" s="72"/>
    </row>
    <row r="21" ht="15.75" customHeight="1">
      <c r="A21" s="93"/>
      <c r="B21" s="72"/>
      <c r="C21" s="72"/>
      <c r="D21" s="72"/>
      <c r="E21" s="72"/>
      <c r="F21" s="72"/>
      <c r="G21" s="72"/>
      <c r="H21" s="72"/>
    </row>
    <row r="22" ht="15.75" customHeight="1">
      <c r="A22" s="93"/>
      <c r="B22" s="72"/>
      <c r="C22" s="72"/>
      <c r="D22" s="72"/>
      <c r="E22" s="72"/>
      <c r="F22" s="72"/>
      <c r="G22" s="72"/>
      <c r="H22" s="72"/>
    </row>
    <row r="23" ht="15.75" customHeight="1">
      <c r="A23" s="93"/>
      <c r="B23" s="72"/>
      <c r="C23" s="72"/>
      <c r="D23" s="72"/>
      <c r="E23" s="72"/>
      <c r="F23" s="72"/>
      <c r="G23" s="72"/>
      <c r="H23" s="72"/>
    </row>
    <row r="24" ht="15.75" customHeight="1">
      <c r="A24" s="93"/>
      <c r="B24" s="72"/>
      <c r="C24" s="72"/>
      <c r="D24" s="72"/>
      <c r="E24" s="72"/>
      <c r="F24" s="72"/>
      <c r="G24" s="72"/>
      <c r="H24" s="72"/>
    </row>
    <row r="25" ht="15.75" customHeight="1">
      <c r="A25" s="93"/>
      <c r="B25" s="72"/>
      <c r="C25" s="72"/>
      <c r="D25" s="72"/>
      <c r="E25" s="72"/>
      <c r="F25" s="72"/>
      <c r="G25" s="72"/>
      <c r="H25" s="72"/>
    </row>
    <row r="26" ht="15.75" customHeight="1">
      <c r="A26" s="93"/>
      <c r="B26" s="72"/>
      <c r="C26" s="72"/>
      <c r="D26" s="72"/>
      <c r="E26" s="72"/>
      <c r="F26" s="72"/>
      <c r="G26" s="72"/>
      <c r="H26" s="72"/>
    </row>
    <row r="27" ht="15.75" customHeight="1">
      <c r="A27" s="93"/>
      <c r="B27" s="72"/>
      <c r="C27" s="72"/>
      <c r="D27" s="72"/>
      <c r="E27" s="72"/>
      <c r="F27" s="72"/>
      <c r="G27" s="72"/>
      <c r="H27" s="72"/>
    </row>
    <row r="28" ht="15.75" customHeight="1">
      <c r="A28" s="93"/>
      <c r="B28" s="72"/>
      <c r="C28" s="72"/>
      <c r="D28" s="72"/>
      <c r="E28" s="72"/>
      <c r="F28" s="72"/>
      <c r="G28" s="72"/>
      <c r="H28" s="72"/>
    </row>
    <row r="29" ht="15.75" customHeight="1">
      <c r="A29" s="93"/>
      <c r="B29" s="72"/>
      <c r="C29" s="72"/>
      <c r="D29" s="72"/>
      <c r="E29" s="72"/>
      <c r="F29" s="72"/>
      <c r="G29" s="72"/>
      <c r="H29" s="72"/>
    </row>
    <row r="30" ht="15.75" customHeight="1">
      <c r="A30" s="93"/>
      <c r="B30" s="72"/>
      <c r="C30" s="72"/>
      <c r="D30" s="72"/>
      <c r="E30" s="72"/>
      <c r="F30" s="72"/>
      <c r="G30" s="72"/>
      <c r="H30" s="72"/>
    </row>
    <row r="31" ht="15.75" customHeight="1">
      <c r="A31" s="93"/>
      <c r="B31" s="72"/>
      <c r="C31" s="72"/>
      <c r="D31" s="72"/>
      <c r="E31" s="72"/>
      <c r="F31" s="72"/>
      <c r="G31" s="72"/>
      <c r="H31" s="72"/>
    </row>
    <row r="32" ht="15.75" customHeight="1">
      <c r="A32" s="93"/>
      <c r="B32" s="72"/>
      <c r="C32" s="72"/>
      <c r="D32" s="72"/>
      <c r="E32" s="72"/>
      <c r="F32" s="72"/>
      <c r="G32" s="72"/>
      <c r="H32" s="72"/>
    </row>
    <row r="33" ht="15.75" customHeight="1">
      <c r="A33" s="93"/>
      <c r="B33" s="72"/>
      <c r="C33" s="72"/>
      <c r="D33" s="72"/>
      <c r="E33" s="72"/>
      <c r="F33" s="72"/>
      <c r="G33" s="72"/>
      <c r="H33" s="72"/>
    </row>
    <row r="34" ht="15.75" customHeight="1">
      <c r="A34" s="93"/>
      <c r="B34" s="72"/>
      <c r="C34" s="72"/>
      <c r="D34" s="72"/>
      <c r="E34" s="72"/>
      <c r="F34" s="72"/>
      <c r="G34" s="72"/>
      <c r="H34" s="72"/>
    </row>
    <row r="35" ht="15.75" customHeight="1">
      <c r="A35" s="93"/>
      <c r="B35" s="72"/>
      <c r="C35" s="72"/>
      <c r="D35" s="72"/>
      <c r="E35" s="72"/>
      <c r="F35" s="72"/>
      <c r="G35" s="72"/>
      <c r="H35" s="72"/>
    </row>
    <row r="36" ht="15.75" customHeight="1">
      <c r="A36" s="93"/>
      <c r="B36" s="72"/>
      <c r="C36" s="72"/>
      <c r="D36" s="72"/>
      <c r="E36" s="72"/>
      <c r="F36" s="72"/>
      <c r="G36" s="72"/>
      <c r="H36" s="72"/>
    </row>
    <row r="37" ht="15.75" customHeight="1">
      <c r="A37" s="93"/>
      <c r="B37" s="72"/>
      <c r="C37" s="72"/>
      <c r="D37" s="72"/>
      <c r="E37" s="72"/>
      <c r="F37" s="72"/>
      <c r="G37" s="72"/>
      <c r="H37" s="72"/>
    </row>
    <row r="38" ht="15.75" customHeight="1">
      <c r="A38" s="93"/>
      <c r="B38" s="72"/>
      <c r="C38" s="72"/>
      <c r="D38" s="72"/>
      <c r="E38" s="72"/>
      <c r="F38" s="72"/>
      <c r="G38" s="72"/>
      <c r="H38" s="72"/>
    </row>
    <row r="39" ht="15.75" customHeight="1">
      <c r="A39" s="93"/>
      <c r="B39" s="72"/>
      <c r="C39" s="72"/>
      <c r="D39" s="72"/>
      <c r="E39" s="72"/>
      <c r="F39" s="72"/>
      <c r="G39" s="72"/>
      <c r="H39" s="72"/>
    </row>
    <row r="40" ht="15.75" customHeight="1">
      <c r="A40" s="93"/>
      <c r="B40" s="72"/>
      <c r="C40" s="72"/>
      <c r="D40" s="72"/>
      <c r="E40" s="72"/>
      <c r="F40" s="72"/>
      <c r="G40" s="72"/>
      <c r="H40" s="72"/>
    </row>
    <row r="41" ht="15.75" customHeight="1">
      <c r="A41" s="93"/>
      <c r="B41" s="72"/>
      <c r="C41" s="72"/>
      <c r="D41" s="72"/>
      <c r="E41" s="72"/>
      <c r="F41" s="72"/>
      <c r="G41" s="72"/>
      <c r="H41" s="72"/>
    </row>
    <row r="42" ht="15.75" customHeight="1">
      <c r="A42" s="93"/>
      <c r="B42" s="72"/>
      <c r="C42" s="72"/>
      <c r="D42" s="72"/>
      <c r="E42" s="72"/>
      <c r="F42" s="72"/>
      <c r="G42" s="72"/>
      <c r="H42" s="72"/>
    </row>
    <row r="43" ht="15.75" customHeight="1">
      <c r="A43" s="93"/>
      <c r="B43" s="72"/>
      <c r="C43" s="72"/>
      <c r="D43" s="72"/>
      <c r="E43" s="72"/>
      <c r="F43" s="72"/>
      <c r="G43" s="72"/>
      <c r="H43" s="72"/>
    </row>
    <row r="44" ht="15.75" customHeight="1">
      <c r="A44" s="93"/>
      <c r="B44" s="72"/>
      <c r="C44" s="72"/>
      <c r="D44" s="72"/>
      <c r="E44" s="72"/>
      <c r="F44" s="72"/>
      <c r="G44" s="72"/>
      <c r="H44" s="72"/>
    </row>
    <row r="45" ht="15.75" customHeight="1">
      <c r="A45" s="93"/>
      <c r="B45" s="72"/>
      <c r="C45" s="72"/>
      <c r="D45" s="72"/>
      <c r="E45" s="72"/>
      <c r="F45" s="72"/>
      <c r="G45" s="72"/>
      <c r="H45" s="72"/>
    </row>
    <row r="46" ht="15.75" customHeight="1">
      <c r="A46" s="93"/>
      <c r="B46" s="72"/>
      <c r="C46" s="72"/>
      <c r="D46" s="72"/>
      <c r="E46" s="72"/>
      <c r="F46" s="72"/>
      <c r="G46" s="72"/>
      <c r="H46" s="72"/>
    </row>
    <row r="47" ht="15.75" customHeight="1">
      <c r="A47" s="93"/>
      <c r="B47" s="72"/>
      <c r="C47" s="72"/>
      <c r="D47" s="72"/>
      <c r="E47" s="72"/>
      <c r="F47" s="72"/>
      <c r="G47" s="72"/>
      <c r="H47" s="72"/>
    </row>
    <row r="48" ht="15.75" customHeight="1">
      <c r="A48" s="93"/>
      <c r="B48" s="72"/>
      <c r="C48" s="72"/>
      <c r="D48" s="72"/>
      <c r="E48" s="72"/>
      <c r="F48" s="72"/>
      <c r="G48" s="72"/>
      <c r="H48" s="72"/>
    </row>
    <row r="49" ht="15.75" customHeight="1">
      <c r="A49" s="93"/>
      <c r="B49" s="72"/>
      <c r="C49" s="72"/>
      <c r="D49" s="72"/>
      <c r="E49" s="72"/>
      <c r="F49" s="72"/>
      <c r="G49" s="72"/>
      <c r="H49" s="72"/>
    </row>
    <row r="50" ht="15.75" customHeight="1">
      <c r="A50" s="93"/>
      <c r="B50" s="72"/>
      <c r="C50" s="72"/>
      <c r="D50" s="72"/>
      <c r="E50" s="72"/>
      <c r="F50" s="72"/>
      <c r="G50" s="72"/>
      <c r="H50" s="72"/>
    </row>
    <row r="51" ht="15.75" customHeight="1">
      <c r="A51" s="93"/>
      <c r="B51" s="72"/>
      <c r="C51" s="72"/>
      <c r="D51" s="72"/>
      <c r="E51" s="72"/>
      <c r="F51" s="72"/>
      <c r="G51" s="72"/>
      <c r="H51" s="72"/>
    </row>
    <row r="52" ht="15.75" customHeight="1">
      <c r="A52" s="93"/>
      <c r="B52" s="72"/>
      <c r="C52" s="72"/>
      <c r="D52" s="72"/>
      <c r="E52" s="72"/>
      <c r="F52" s="72"/>
      <c r="G52" s="72"/>
      <c r="H52" s="72"/>
    </row>
    <row r="53" ht="15.75" customHeight="1">
      <c r="A53" s="93"/>
      <c r="B53" s="72"/>
      <c r="C53" s="72"/>
      <c r="D53" s="72"/>
      <c r="E53" s="72"/>
      <c r="F53" s="72"/>
      <c r="G53" s="72"/>
      <c r="H53" s="72"/>
    </row>
    <row r="54" ht="15.75" customHeight="1">
      <c r="A54" s="93"/>
      <c r="B54" s="72"/>
      <c r="C54" s="72"/>
      <c r="D54" s="72"/>
      <c r="E54" s="72"/>
      <c r="F54" s="72"/>
      <c r="G54" s="72"/>
      <c r="H54" s="72"/>
    </row>
    <row r="55" ht="15.75" customHeight="1">
      <c r="A55" s="93"/>
      <c r="B55" s="72"/>
      <c r="C55" s="72"/>
      <c r="D55" s="72"/>
      <c r="E55" s="72"/>
      <c r="F55" s="72"/>
      <c r="G55" s="72"/>
      <c r="H55" s="72"/>
    </row>
    <row r="56" ht="15.75" customHeight="1">
      <c r="A56" s="93"/>
      <c r="B56" s="72"/>
      <c r="C56" s="72"/>
      <c r="D56" s="72"/>
      <c r="E56" s="72"/>
      <c r="F56" s="72"/>
      <c r="G56" s="72"/>
      <c r="H56" s="72"/>
    </row>
    <row r="57" ht="15.75" customHeight="1">
      <c r="A57" s="93"/>
      <c r="B57" s="72"/>
      <c r="C57" s="72"/>
      <c r="D57" s="72"/>
      <c r="E57" s="72"/>
      <c r="F57" s="72"/>
      <c r="G57" s="72"/>
      <c r="H57" s="72"/>
    </row>
    <row r="58" ht="15.75" customHeight="1">
      <c r="A58" s="93"/>
      <c r="B58" s="72"/>
      <c r="C58" s="72"/>
      <c r="D58" s="72"/>
      <c r="E58" s="72"/>
      <c r="F58" s="72"/>
      <c r="G58" s="72"/>
      <c r="H58" s="72"/>
    </row>
    <row r="59" ht="15.75" customHeight="1">
      <c r="A59" s="93"/>
      <c r="B59" s="72"/>
      <c r="C59" s="72"/>
      <c r="D59" s="72"/>
      <c r="E59" s="72"/>
      <c r="F59" s="72"/>
      <c r="G59" s="72"/>
      <c r="H59" s="72"/>
    </row>
    <row r="60" ht="15.75" customHeight="1">
      <c r="A60" s="93"/>
      <c r="B60" s="72"/>
      <c r="C60" s="72"/>
      <c r="D60" s="72"/>
      <c r="E60" s="72"/>
      <c r="F60" s="72"/>
      <c r="G60" s="72"/>
      <c r="H60" s="72"/>
    </row>
    <row r="61" ht="15.75" customHeight="1">
      <c r="A61" s="93"/>
      <c r="B61" s="72"/>
      <c r="C61" s="72"/>
      <c r="D61" s="72"/>
      <c r="E61" s="72"/>
      <c r="F61" s="72"/>
      <c r="G61" s="72"/>
      <c r="H61" s="72"/>
    </row>
    <row r="62" ht="15.75" customHeight="1">
      <c r="A62" s="93"/>
      <c r="B62" s="72"/>
      <c r="C62" s="72"/>
      <c r="D62" s="72"/>
      <c r="E62" s="72"/>
      <c r="F62" s="72"/>
      <c r="G62" s="72"/>
      <c r="H62" s="72"/>
    </row>
    <row r="63" ht="15.75" customHeight="1">
      <c r="A63" s="93"/>
      <c r="B63" s="72"/>
      <c r="C63" s="72"/>
      <c r="D63" s="72"/>
      <c r="E63" s="72"/>
      <c r="F63" s="72"/>
      <c r="G63" s="72"/>
      <c r="H63" s="72"/>
    </row>
    <row r="64" ht="15.75" customHeight="1">
      <c r="A64" s="93"/>
      <c r="B64" s="72"/>
      <c r="C64" s="72"/>
      <c r="D64" s="72"/>
      <c r="E64" s="72"/>
      <c r="F64" s="72"/>
      <c r="G64" s="72"/>
      <c r="H64" s="72"/>
    </row>
    <row r="65" ht="15.75" customHeight="1">
      <c r="A65" s="93"/>
      <c r="B65" s="72"/>
      <c r="C65" s="72"/>
      <c r="D65" s="72"/>
      <c r="E65" s="72"/>
      <c r="F65" s="72"/>
      <c r="G65" s="72"/>
      <c r="H65" s="72"/>
    </row>
    <row r="66" ht="15.75" customHeight="1">
      <c r="A66" s="93"/>
      <c r="B66" s="72"/>
      <c r="C66" s="72"/>
      <c r="D66" s="72"/>
      <c r="E66" s="72"/>
      <c r="F66" s="72"/>
      <c r="G66" s="72"/>
      <c r="H66" s="72"/>
    </row>
    <row r="67" ht="15.75" customHeight="1">
      <c r="A67" s="93"/>
      <c r="B67" s="72"/>
      <c r="C67" s="72"/>
      <c r="D67" s="72"/>
      <c r="E67" s="72"/>
      <c r="F67" s="72"/>
      <c r="G67" s="72"/>
      <c r="H67" s="72"/>
    </row>
    <row r="68" ht="15.75" customHeight="1">
      <c r="A68" s="93"/>
      <c r="B68" s="72"/>
      <c r="C68" s="72"/>
      <c r="D68" s="72"/>
      <c r="E68" s="72"/>
      <c r="F68" s="72"/>
      <c r="G68" s="72"/>
      <c r="H68" s="72"/>
    </row>
    <row r="69" ht="15.75" customHeight="1">
      <c r="A69" s="93"/>
      <c r="B69" s="72"/>
      <c r="C69" s="72"/>
      <c r="D69" s="72"/>
      <c r="E69" s="72"/>
      <c r="F69" s="72"/>
      <c r="G69" s="72"/>
      <c r="H69" s="72"/>
    </row>
    <row r="70" ht="15.75" customHeight="1">
      <c r="A70" s="93"/>
      <c r="B70" s="72"/>
      <c r="C70" s="72"/>
      <c r="D70" s="72"/>
      <c r="E70" s="72"/>
      <c r="F70" s="72"/>
      <c r="G70" s="72"/>
      <c r="H70" s="72"/>
    </row>
    <row r="71" ht="15.75" customHeight="1">
      <c r="A71" s="93"/>
      <c r="B71" s="72"/>
      <c r="C71" s="72"/>
      <c r="D71" s="72"/>
      <c r="E71" s="72"/>
      <c r="F71" s="72"/>
      <c r="G71" s="72"/>
      <c r="H71" s="72"/>
    </row>
    <row r="72" ht="15.75" customHeight="1">
      <c r="A72" s="93"/>
      <c r="B72" s="72"/>
      <c r="C72" s="72"/>
      <c r="D72" s="72"/>
      <c r="E72" s="72"/>
      <c r="F72" s="72"/>
      <c r="G72" s="72"/>
      <c r="H72" s="72"/>
    </row>
    <row r="73" ht="15.75" customHeight="1">
      <c r="A73" s="93"/>
      <c r="B73" s="72"/>
      <c r="C73" s="72"/>
      <c r="D73" s="72"/>
      <c r="E73" s="72"/>
      <c r="F73" s="72"/>
      <c r="G73" s="72"/>
      <c r="H73" s="72"/>
    </row>
    <row r="74" ht="15.75" customHeight="1">
      <c r="A74" s="93"/>
      <c r="B74" s="72"/>
      <c r="C74" s="72"/>
      <c r="D74" s="72"/>
      <c r="E74" s="72"/>
      <c r="F74" s="72"/>
      <c r="G74" s="72"/>
      <c r="H74" s="72"/>
    </row>
    <row r="75" ht="15.75" customHeight="1">
      <c r="A75" s="93"/>
      <c r="B75" s="72"/>
      <c r="C75" s="72"/>
      <c r="D75" s="72"/>
      <c r="E75" s="72"/>
      <c r="F75" s="72"/>
      <c r="G75" s="72"/>
      <c r="H75" s="72"/>
    </row>
    <row r="76" ht="15.75" customHeight="1">
      <c r="A76" s="93"/>
      <c r="B76" s="72"/>
      <c r="C76" s="72"/>
      <c r="D76" s="72"/>
      <c r="E76" s="72"/>
      <c r="F76" s="72"/>
      <c r="G76" s="72"/>
      <c r="H76" s="72"/>
    </row>
    <row r="77" ht="15.75" customHeight="1">
      <c r="A77" s="93"/>
      <c r="B77" s="72"/>
      <c r="C77" s="72"/>
      <c r="D77" s="72"/>
      <c r="E77" s="72"/>
      <c r="F77" s="72"/>
      <c r="G77" s="72"/>
      <c r="H77" s="72"/>
    </row>
    <row r="78" ht="15.75" customHeight="1">
      <c r="A78" s="93"/>
      <c r="B78" s="72"/>
      <c r="C78" s="72"/>
      <c r="D78" s="72"/>
      <c r="E78" s="72"/>
      <c r="F78" s="72"/>
      <c r="G78" s="72"/>
      <c r="H78" s="72"/>
    </row>
    <row r="79" ht="15.75" customHeight="1">
      <c r="A79" s="93"/>
      <c r="B79" s="72"/>
      <c r="C79" s="72"/>
      <c r="D79" s="72"/>
      <c r="E79" s="72"/>
      <c r="F79" s="72"/>
      <c r="G79" s="72"/>
      <c r="H79" s="72"/>
    </row>
    <row r="80" ht="15.75" customHeight="1">
      <c r="A80" s="93"/>
      <c r="B80" s="72"/>
      <c r="C80" s="72"/>
      <c r="D80" s="72"/>
      <c r="E80" s="72"/>
      <c r="F80" s="72"/>
      <c r="G80" s="72"/>
      <c r="H80" s="72"/>
    </row>
    <row r="81" ht="15.75" customHeight="1">
      <c r="A81" s="93"/>
      <c r="B81" s="72"/>
      <c r="C81" s="72"/>
      <c r="D81" s="72"/>
      <c r="E81" s="72"/>
      <c r="F81" s="72"/>
      <c r="G81" s="72"/>
      <c r="H81" s="72"/>
    </row>
    <row r="82" ht="15.75" customHeight="1">
      <c r="A82" s="93"/>
      <c r="B82" s="72"/>
      <c r="C82" s="72"/>
      <c r="D82" s="72"/>
      <c r="E82" s="72"/>
      <c r="F82" s="72"/>
      <c r="G82" s="72"/>
      <c r="H82" s="72"/>
    </row>
    <row r="83" ht="15.75" customHeight="1">
      <c r="A83" s="93"/>
      <c r="B83" s="72"/>
      <c r="C83" s="72"/>
      <c r="D83" s="72"/>
      <c r="E83" s="72"/>
      <c r="F83" s="72"/>
      <c r="G83" s="72"/>
      <c r="H83" s="72"/>
    </row>
    <row r="84" ht="15.75" customHeight="1">
      <c r="A84" s="93"/>
      <c r="B84" s="72"/>
      <c r="C84" s="72"/>
      <c r="D84" s="72"/>
      <c r="E84" s="72"/>
      <c r="F84" s="72"/>
      <c r="G84" s="72"/>
      <c r="H84" s="72"/>
    </row>
    <row r="85" ht="15.75" customHeight="1">
      <c r="A85" s="93"/>
      <c r="B85" s="72"/>
      <c r="C85" s="72"/>
      <c r="D85" s="72"/>
      <c r="E85" s="72"/>
      <c r="F85" s="72"/>
      <c r="G85" s="72"/>
      <c r="H85" s="72"/>
    </row>
    <row r="86" ht="15.75" customHeight="1">
      <c r="A86" s="93"/>
      <c r="B86" s="72"/>
      <c r="C86" s="72"/>
      <c r="D86" s="72"/>
      <c r="E86" s="72"/>
      <c r="F86" s="72"/>
      <c r="G86" s="72"/>
      <c r="H86" s="72"/>
    </row>
    <row r="87" ht="15.75" customHeight="1">
      <c r="A87" s="93"/>
      <c r="B87" s="72"/>
      <c r="C87" s="72"/>
      <c r="D87" s="72"/>
      <c r="E87" s="72"/>
      <c r="F87" s="72"/>
      <c r="G87" s="72"/>
      <c r="H87" s="72"/>
    </row>
    <row r="88" ht="15.75" customHeight="1">
      <c r="A88" s="93"/>
      <c r="B88" s="72"/>
      <c r="C88" s="72"/>
      <c r="D88" s="72"/>
      <c r="E88" s="72"/>
      <c r="F88" s="72"/>
      <c r="G88" s="72"/>
      <c r="H88" s="72"/>
    </row>
    <row r="89" ht="15.75" customHeight="1">
      <c r="A89" s="93"/>
      <c r="B89" s="72"/>
      <c r="C89" s="72"/>
      <c r="D89" s="72"/>
      <c r="E89" s="72"/>
      <c r="F89" s="72"/>
      <c r="G89" s="72"/>
      <c r="H89" s="72"/>
    </row>
    <row r="90" ht="15.75" customHeight="1">
      <c r="A90" s="93"/>
      <c r="B90" s="72"/>
      <c r="C90" s="72"/>
      <c r="D90" s="72"/>
      <c r="E90" s="72"/>
      <c r="F90" s="72"/>
      <c r="G90" s="72"/>
      <c r="H90" s="72"/>
    </row>
    <row r="91" ht="15.75" customHeight="1">
      <c r="A91" s="93"/>
      <c r="B91" s="72"/>
      <c r="C91" s="72"/>
      <c r="D91" s="72"/>
      <c r="E91" s="72"/>
      <c r="F91" s="72"/>
      <c r="G91" s="72"/>
      <c r="H91" s="72"/>
    </row>
    <row r="92" ht="15.75" customHeight="1">
      <c r="A92" s="93"/>
      <c r="B92" s="72"/>
      <c r="C92" s="72"/>
      <c r="D92" s="72"/>
      <c r="E92" s="72"/>
      <c r="F92" s="72"/>
      <c r="G92" s="72"/>
      <c r="H92" s="72"/>
    </row>
    <row r="93" ht="15.75" customHeight="1">
      <c r="A93" s="93"/>
      <c r="B93" s="72"/>
      <c r="C93" s="72"/>
      <c r="D93" s="72"/>
      <c r="E93" s="72"/>
      <c r="F93" s="72"/>
      <c r="G93" s="72"/>
      <c r="H93" s="72"/>
    </row>
    <row r="94" ht="15.75" customHeight="1">
      <c r="A94" s="93"/>
      <c r="B94" s="72"/>
      <c r="C94" s="72"/>
      <c r="D94" s="72"/>
      <c r="E94" s="72"/>
      <c r="F94" s="72"/>
      <c r="G94" s="72"/>
      <c r="H94" s="72"/>
    </row>
    <row r="95" ht="15.75" customHeight="1">
      <c r="A95" s="93"/>
      <c r="B95" s="72"/>
      <c r="C95" s="72"/>
      <c r="D95" s="72"/>
      <c r="E95" s="72"/>
      <c r="F95" s="72"/>
      <c r="G95" s="72"/>
      <c r="H95" s="72"/>
    </row>
    <row r="96" ht="15.75" customHeight="1">
      <c r="A96" s="93"/>
      <c r="B96" s="72"/>
      <c r="C96" s="72"/>
      <c r="D96" s="72"/>
      <c r="E96" s="72"/>
      <c r="F96" s="72"/>
      <c r="G96" s="72"/>
      <c r="H96" s="72"/>
    </row>
    <row r="97" ht="15.75" customHeight="1">
      <c r="A97" s="93"/>
      <c r="B97" s="72"/>
      <c r="C97" s="72"/>
      <c r="D97" s="72"/>
      <c r="E97" s="72"/>
      <c r="F97" s="72"/>
      <c r="G97" s="72"/>
      <c r="H97" s="72"/>
    </row>
    <row r="98" ht="15.75" customHeight="1">
      <c r="A98" s="93"/>
      <c r="B98" s="72"/>
      <c r="C98" s="72"/>
      <c r="D98" s="72"/>
      <c r="E98" s="72"/>
      <c r="F98" s="72"/>
      <c r="G98" s="72"/>
      <c r="H98" s="72"/>
    </row>
    <row r="99" ht="15.75" customHeight="1">
      <c r="A99" s="93"/>
      <c r="B99" s="72"/>
      <c r="C99" s="72"/>
      <c r="D99" s="72"/>
      <c r="E99" s="72"/>
      <c r="F99" s="72"/>
      <c r="G99" s="72"/>
      <c r="H99" s="72"/>
    </row>
    <row r="100" ht="15.75" customHeight="1">
      <c r="A100" s="93"/>
      <c r="B100" s="72"/>
      <c r="C100" s="72"/>
      <c r="D100" s="72"/>
      <c r="E100" s="72"/>
      <c r="F100" s="72"/>
      <c r="G100" s="72"/>
      <c r="H100" s="72"/>
    </row>
    <row r="101" ht="15.75" customHeight="1">
      <c r="A101" s="93"/>
      <c r="B101" s="72"/>
      <c r="C101" s="72"/>
      <c r="D101" s="72"/>
      <c r="E101" s="72"/>
      <c r="F101" s="72"/>
      <c r="G101" s="72"/>
      <c r="H101" s="72"/>
    </row>
    <row r="102" ht="15.75" customHeight="1">
      <c r="A102" s="93"/>
      <c r="B102" s="72"/>
      <c r="C102" s="72"/>
      <c r="D102" s="72"/>
      <c r="E102" s="72"/>
      <c r="F102" s="72"/>
      <c r="G102" s="72"/>
      <c r="H102" s="72"/>
    </row>
    <row r="103" ht="15.75" customHeight="1">
      <c r="A103" s="93"/>
      <c r="B103" s="72"/>
      <c r="C103" s="72"/>
      <c r="D103" s="72"/>
      <c r="E103" s="72"/>
      <c r="F103" s="72"/>
      <c r="G103" s="72"/>
      <c r="H103" s="72"/>
    </row>
    <row r="104" ht="15.75" customHeight="1">
      <c r="A104" s="93"/>
      <c r="B104" s="72"/>
      <c r="C104" s="72"/>
      <c r="D104" s="72"/>
      <c r="E104" s="72"/>
      <c r="F104" s="72"/>
      <c r="G104" s="72"/>
      <c r="H104" s="72"/>
    </row>
    <row r="105" ht="15.75" customHeight="1">
      <c r="A105" s="93"/>
      <c r="B105" s="72"/>
      <c r="C105" s="72"/>
      <c r="D105" s="72"/>
      <c r="E105" s="72"/>
      <c r="F105" s="72"/>
      <c r="G105" s="72"/>
      <c r="H105" s="72"/>
    </row>
    <row r="106" ht="15.75" customHeight="1">
      <c r="A106" s="93"/>
      <c r="B106" s="72"/>
      <c r="C106" s="72"/>
      <c r="D106" s="72"/>
      <c r="E106" s="72"/>
      <c r="F106" s="72"/>
      <c r="G106" s="72"/>
      <c r="H106" s="72"/>
    </row>
    <row r="107" ht="15.75" customHeight="1">
      <c r="A107" s="93"/>
      <c r="B107" s="72"/>
      <c r="C107" s="72"/>
      <c r="D107" s="72"/>
      <c r="E107" s="72"/>
      <c r="F107" s="72"/>
      <c r="G107" s="72"/>
      <c r="H107" s="72"/>
    </row>
    <row r="108" ht="15.75" customHeight="1">
      <c r="A108" s="93"/>
      <c r="B108" s="72"/>
      <c r="C108" s="72"/>
      <c r="D108" s="72"/>
      <c r="E108" s="72"/>
      <c r="F108" s="72"/>
      <c r="G108" s="72"/>
      <c r="H108" s="72"/>
    </row>
    <row r="109" ht="15.75" customHeight="1">
      <c r="A109" s="93"/>
      <c r="B109" s="72"/>
      <c r="C109" s="72"/>
      <c r="D109" s="72"/>
      <c r="E109" s="72"/>
      <c r="F109" s="72"/>
      <c r="G109" s="72"/>
      <c r="H109" s="72"/>
    </row>
    <row r="110" ht="15.75" customHeight="1">
      <c r="A110" s="93"/>
      <c r="B110" s="72"/>
      <c r="C110" s="72"/>
      <c r="D110" s="72"/>
      <c r="E110" s="72"/>
      <c r="F110" s="72"/>
      <c r="G110" s="72"/>
      <c r="H110" s="72"/>
    </row>
    <row r="111" ht="15.75" customHeight="1">
      <c r="A111" s="93"/>
      <c r="B111" s="72"/>
      <c r="C111" s="72"/>
      <c r="D111" s="72"/>
      <c r="E111" s="72"/>
      <c r="F111" s="72"/>
      <c r="G111" s="72"/>
      <c r="H111" s="72"/>
    </row>
    <row r="112" ht="15.75" customHeight="1">
      <c r="A112" s="93"/>
      <c r="B112" s="72"/>
      <c r="C112" s="72"/>
      <c r="D112" s="72"/>
      <c r="E112" s="72"/>
      <c r="F112" s="72"/>
      <c r="G112" s="72"/>
      <c r="H112" s="72"/>
    </row>
    <row r="113" ht="15.75" customHeight="1">
      <c r="A113" s="93"/>
      <c r="B113" s="72"/>
      <c r="C113" s="72"/>
      <c r="D113" s="72"/>
      <c r="E113" s="72"/>
      <c r="F113" s="72"/>
      <c r="G113" s="72"/>
      <c r="H113" s="72"/>
    </row>
    <row r="114" ht="15.75" customHeight="1">
      <c r="A114" s="93"/>
      <c r="B114" s="72"/>
      <c r="C114" s="72"/>
      <c r="D114" s="72"/>
      <c r="E114" s="72"/>
      <c r="F114" s="72"/>
      <c r="G114" s="72"/>
      <c r="H114" s="72"/>
    </row>
    <row r="115" ht="15.75" customHeight="1">
      <c r="A115" s="93"/>
      <c r="B115" s="72"/>
      <c r="C115" s="72"/>
      <c r="D115" s="72"/>
      <c r="E115" s="72"/>
      <c r="F115" s="72"/>
      <c r="G115" s="72"/>
      <c r="H115" s="72"/>
    </row>
    <row r="116" ht="15.75" customHeight="1">
      <c r="A116" s="93"/>
      <c r="B116" s="72"/>
      <c r="C116" s="72"/>
      <c r="D116" s="72"/>
      <c r="E116" s="72"/>
      <c r="F116" s="72"/>
      <c r="G116" s="72"/>
      <c r="H116" s="72"/>
    </row>
    <row r="117" ht="15.75" customHeight="1">
      <c r="A117" s="93"/>
      <c r="B117" s="72"/>
      <c r="C117" s="72"/>
      <c r="D117" s="72"/>
      <c r="E117" s="72"/>
      <c r="F117" s="72"/>
      <c r="G117" s="72"/>
      <c r="H117" s="72"/>
    </row>
    <row r="118" ht="15.75" customHeight="1">
      <c r="A118" s="93"/>
      <c r="B118" s="72"/>
      <c r="C118" s="72"/>
      <c r="D118" s="72"/>
      <c r="E118" s="72"/>
      <c r="F118" s="72"/>
      <c r="G118" s="72"/>
      <c r="H118" s="72"/>
    </row>
    <row r="119" ht="15.75" customHeight="1">
      <c r="A119" s="93"/>
      <c r="B119" s="72"/>
      <c r="C119" s="72"/>
      <c r="D119" s="72"/>
      <c r="E119" s="72"/>
      <c r="F119" s="72"/>
      <c r="G119" s="72"/>
      <c r="H119" s="72"/>
    </row>
    <row r="120" ht="15.75" customHeight="1">
      <c r="A120" s="93"/>
      <c r="B120" s="72"/>
      <c r="C120" s="72"/>
      <c r="D120" s="72"/>
      <c r="E120" s="72"/>
      <c r="F120" s="72"/>
      <c r="G120" s="72"/>
      <c r="H120" s="72"/>
    </row>
    <row r="121" ht="15.75" customHeight="1">
      <c r="A121" s="93"/>
      <c r="B121" s="72"/>
      <c r="C121" s="72"/>
      <c r="D121" s="72"/>
      <c r="E121" s="72"/>
      <c r="F121" s="72"/>
      <c r="G121" s="72"/>
      <c r="H121" s="72"/>
    </row>
    <row r="122" ht="15.75" customHeight="1">
      <c r="A122" s="93"/>
      <c r="B122" s="72"/>
      <c r="C122" s="72"/>
      <c r="D122" s="72"/>
      <c r="E122" s="72"/>
      <c r="F122" s="72"/>
      <c r="G122" s="72"/>
      <c r="H122" s="72"/>
    </row>
    <row r="123" ht="15.75" customHeight="1">
      <c r="A123" s="93"/>
      <c r="B123" s="72"/>
      <c r="C123" s="72"/>
      <c r="D123" s="72"/>
      <c r="E123" s="72"/>
      <c r="F123" s="72"/>
      <c r="G123" s="72"/>
      <c r="H123" s="72"/>
    </row>
    <row r="124" ht="15.75" customHeight="1">
      <c r="A124" s="93"/>
      <c r="B124" s="72"/>
      <c r="C124" s="72"/>
      <c r="D124" s="72"/>
      <c r="E124" s="72"/>
      <c r="F124" s="72"/>
      <c r="G124" s="72"/>
      <c r="H124" s="72"/>
    </row>
    <row r="125" ht="15.75" customHeight="1">
      <c r="A125" s="93"/>
      <c r="B125" s="72"/>
      <c r="C125" s="72"/>
      <c r="D125" s="72"/>
      <c r="E125" s="72"/>
      <c r="F125" s="72"/>
      <c r="G125" s="72"/>
      <c r="H125" s="72"/>
    </row>
    <row r="126" ht="15.75" customHeight="1">
      <c r="A126" s="93"/>
      <c r="B126" s="72"/>
      <c r="C126" s="72"/>
      <c r="D126" s="72"/>
      <c r="E126" s="72"/>
      <c r="F126" s="72"/>
      <c r="G126" s="72"/>
      <c r="H126" s="72"/>
    </row>
    <row r="127" ht="15.75" customHeight="1">
      <c r="A127" s="93"/>
      <c r="B127" s="72"/>
      <c r="C127" s="72"/>
      <c r="D127" s="72"/>
      <c r="E127" s="72"/>
      <c r="F127" s="72"/>
      <c r="G127" s="72"/>
      <c r="H127" s="72"/>
    </row>
    <row r="128" ht="15.75" customHeight="1">
      <c r="A128" s="93"/>
      <c r="B128" s="72"/>
      <c r="C128" s="72"/>
      <c r="D128" s="72"/>
      <c r="E128" s="72"/>
      <c r="F128" s="72"/>
      <c r="G128" s="72"/>
      <c r="H128" s="72"/>
    </row>
    <row r="129" ht="15.75" customHeight="1">
      <c r="A129" s="93"/>
      <c r="B129" s="72"/>
      <c r="C129" s="72"/>
      <c r="D129" s="72"/>
      <c r="E129" s="72"/>
      <c r="F129" s="72"/>
      <c r="G129" s="72"/>
      <c r="H129" s="72"/>
    </row>
    <row r="130" ht="15.75" customHeight="1">
      <c r="A130" s="93"/>
      <c r="B130" s="72"/>
      <c r="C130" s="72"/>
      <c r="D130" s="72"/>
      <c r="E130" s="72"/>
      <c r="F130" s="72"/>
      <c r="G130" s="72"/>
      <c r="H130" s="72"/>
    </row>
    <row r="131" ht="15.75" customHeight="1">
      <c r="A131" s="93"/>
      <c r="B131" s="72"/>
      <c r="C131" s="72"/>
      <c r="D131" s="72"/>
      <c r="E131" s="72"/>
      <c r="F131" s="72"/>
      <c r="G131" s="72"/>
      <c r="H131" s="72"/>
    </row>
    <row r="132" ht="15.75" customHeight="1">
      <c r="A132" s="93"/>
      <c r="B132" s="72"/>
      <c r="C132" s="72"/>
      <c r="D132" s="72"/>
      <c r="E132" s="72"/>
      <c r="F132" s="72"/>
      <c r="G132" s="72"/>
      <c r="H132" s="72"/>
    </row>
    <row r="133" ht="15.75" customHeight="1">
      <c r="A133" s="93"/>
      <c r="B133" s="72"/>
      <c r="C133" s="72"/>
      <c r="D133" s="72"/>
      <c r="E133" s="72"/>
      <c r="F133" s="72"/>
      <c r="G133" s="72"/>
      <c r="H133" s="72"/>
    </row>
    <row r="134" ht="15.75" customHeight="1">
      <c r="A134" s="93"/>
      <c r="B134" s="72"/>
      <c r="C134" s="72"/>
      <c r="D134" s="72"/>
      <c r="E134" s="72"/>
      <c r="F134" s="72"/>
      <c r="G134" s="72"/>
      <c r="H134" s="72"/>
    </row>
    <row r="135" ht="15.75" customHeight="1">
      <c r="A135" s="93"/>
      <c r="B135" s="72"/>
      <c r="C135" s="72"/>
      <c r="D135" s="72"/>
      <c r="E135" s="72"/>
      <c r="F135" s="72"/>
      <c r="G135" s="72"/>
      <c r="H135" s="72"/>
    </row>
    <row r="136" ht="15.75" customHeight="1">
      <c r="A136" s="93"/>
      <c r="B136" s="72"/>
      <c r="C136" s="72"/>
      <c r="D136" s="72"/>
      <c r="E136" s="72"/>
      <c r="F136" s="72"/>
      <c r="G136" s="72"/>
      <c r="H136" s="72"/>
    </row>
    <row r="137" ht="15.75" customHeight="1">
      <c r="A137" s="93"/>
      <c r="B137" s="72"/>
      <c r="C137" s="72"/>
      <c r="D137" s="72"/>
      <c r="E137" s="72"/>
      <c r="F137" s="72"/>
      <c r="G137" s="72"/>
      <c r="H137" s="72"/>
    </row>
    <row r="138" ht="15.75" customHeight="1">
      <c r="A138" s="93"/>
      <c r="B138" s="72"/>
      <c r="C138" s="72"/>
      <c r="D138" s="72"/>
      <c r="E138" s="72"/>
      <c r="F138" s="72"/>
      <c r="G138" s="72"/>
      <c r="H138" s="72"/>
    </row>
    <row r="139" ht="15.75" customHeight="1">
      <c r="A139" s="93"/>
      <c r="B139" s="72"/>
      <c r="C139" s="72"/>
      <c r="D139" s="72"/>
      <c r="E139" s="72"/>
      <c r="F139" s="72"/>
      <c r="G139" s="72"/>
      <c r="H139" s="72"/>
    </row>
    <row r="140" ht="15.75" customHeight="1">
      <c r="A140" s="93"/>
      <c r="B140" s="72"/>
      <c r="C140" s="72"/>
      <c r="D140" s="72"/>
      <c r="E140" s="72"/>
      <c r="F140" s="72"/>
      <c r="G140" s="72"/>
      <c r="H140" s="72"/>
    </row>
    <row r="141" ht="15.75" customHeight="1">
      <c r="A141" s="93"/>
      <c r="B141" s="72"/>
      <c r="C141" s="72"/>
      <c r="D141" s="72"/>
      <c r="E141" s="72"/>
      <c r="F141" s="72"/>
      <c r="G141" s="72"/>
      <c r="H141" s="72"/>
    </row>
    <row r="142" ht="15.75" customHeight="1">
      <c r="A142" s="93"/>
      <c r="B142" s="72"/>
      <c r="C142" s="72"/>
      <c r="D142" s="72"/>
      <c r="E142" s="72"/>
      <c r="F142" s="72"/>
      <c r="G142" s="72"/>
      <c r="H142" s="72"/>
    </row>
    <row r="143" ht="15.75" customHeight="1">
      <c r="A143" s="93"/>
      <c r="B143" s="72"/>
      <c r="C143" s="72"/>
      <c r="D143" s="72"/>
      <c r="E143" s="72"/>
      <c r="F143" s="72"/>
      <c r="G143" s="72"/>
      <c r="H143" s="72"/>
    </row>
    <row r="144" ht="15.75" customHeight="1">
      <c r="A144" s="93"/>
      <c r="B144" s="72"/>
      <c r="C144" s="72"/>
      <c r="D144" s="72"/>
      <c r="E144" s="72"/>
      <c r="F144" s="72"/>
      <c r="G144" s="72"/>
      <c r="H144" s="72"/>
    </row>
    <row r="145" ht="15.75" customHeight="1">
      <c r="A145" s="93"/>
      <c r="B145" s="72"/>
      <c r="C145" s="72"/>
      <c r="D145" s="72"/>
      <c r="E145" s="72"/>
      <c r="F145" s="72"/>
      <c r="G145" s="72"/>
      <c r="H145" s="72"/>
    </row>
    <row r="146" ht="15.75" customHeight="1">
      <c r="A146" s="93"/>
      <c r="B146" s="72"/>
      <c r="C146" s="72"/>
      <c r="D146" s="72"/>
      <c r="E146" s="72"/>
      <c r="F146" s="72"/>
      <c r="G146" s="72"/>
      <c r="H146" s="72"/>
    </row>
    <row r="147" ht="15.75" customHeight="1">
      <c r="A147" s="93"/>
      <c r="B147" s="72"/>
      <c r="C147" s="72"/>
      <c r="D147" s="72"/>
      <c r="E147" s="72"/>
      <c r="F147" s="72"/>
      <c r="G147" s="72"/>
      <c r="H147" s="72"/>
    </row>
    <row r="148" ht="15.75" customHeight="1">
      <c r="A148" s="93"/>
      <c r="B148" s="72"/>
      <c r="C148" s="72"/>
      <c r="D148" s="72"/>
      <c r="E148" s="72"/>
      <c r="F148" s="72"/>
      <c r="G148" s="72"/>
      <c r="H148" s="72"/>
    </row>
    <row r="149" ht="15.75" customHeight="1">
      <c r="A149" s="93"/>
      <c r="B149" s="72"/>
      <c r="C149" s="72"/>
      <c r="D149" s="72"/>
      <c r="E149" s="72"/>
      <c r="F149" s="72"/>
      <c r="G149" s="72"/>
      <c r="H149" s="72"/>
    </row>
    <row r="150" ht="15.75" customHeight="1">
      <c r="A150" s="93"/>
      <c r="B150" s="72"/>
      <c r="C150" s="72"/>
      <c r="D150" s="72"/>
      <c r="E150" s="72"/>
      <c r="F150" s="72"/>
      <c r="G150" s="72"/>
      <c r="H150" s="72"/>
    </row>
    <row r="151" ht="15.75" customHeight="1">
      <c r="A151" s="93"/>
      <c r="B151" s="72"/>
      <c r="C151" s="72"/>
      <c r="D151" s="72"/>
      <c r="E151" s="72"/>
      <c r="F151" s="72"/>
      <c r="G151" s="72"/>
      <c r="H151" s="72"/>
    </row>
    <row r="152" ht="15.75" customHeight="1">
      <c r="A152" s="93"/>
      <c r="B152" s="72"/>
      <c r="C152" s="72"/>
      <c r="D152" s="72"/>
      <c r="E152" s="72"/>
      <c r="F152" s="72"/>
      <c r="G152" s="72"/>
      <c r="H152" s="72"/>
    </row>
    <row r="153" ht="15.75" customHeight="1">
      <c r="A153" s="93"/>
      <c r="B153" s="72"/>
      <c r="C153" s="72"/>
      <c r="D153" s="72"/>
      <c r="E153" s="72"/>
      <c r="F153" s="72"/>
      <c r="G153" s="72"/>
      <c r="H153" s="72"/>
    </row>
    <row r="154" ht="15.75" customHeight="1">
      <c r="A154" s="93"/>
      <c r="B154" s="72"/>
      <c r="C154" s="72"/>
      <c r="D154" s="72"/>
      <c r="E154" s="72"/>
      <c r="F154" s="72"/>
      <c r="G154" s="72"/>
      <c r="H154" s="72"/>
    </row>
    <row r="155" ht="15.75" customHeight="1">
      <c r="A155" s="93"/>
      <c r="B155" s="72"/>
      <c r="C155" s="72"/>
      <c r="D155" s="72"/>
      <c r="E155" s="72"/>
      <c r="F155" s="72"/>
      <c r="G155" s="72"/>
      <c r="H155" s="72"/>
    </row>
    <row r="156" ht="15.75" customHeight="1">
      <c r="A156" s="93"/>
      <c r="B156" s="72"/>
      <c r="C156" s="72"/>
      <c r="D156" s="72"/>
      <c r="E156" s="72"/>
      <c r="F156" s="72"/>
      <c r="G156" s="72"/>
      <c r="H156" s="72"/>
    </row>
    <row r="157" ht="15.75" customHeight="1">
      <c r="A157" s="93"/>
      <c r="B157" s="72"/>
      <c r="C157" s="72"/>
      <c r="D157" s="72"/>
      <c r="E157" s="72"/>
      <c r="F157" s="72"/>
      <c r="G157" s="72"/>
      <c r="H157" s="72"/>
    </row>
    <row r="158" ht="15.75" customHeight="1">
      <c r="A158" s="93"/>
      <c r="B158" s="72"/>
      <c r="C158" s="72"/>
      <c r="D158" s="72"/>
      <c r="E158" s="72"/>
      <c r="F158" s="72"/>
      <c r="G158" s="72"/>
      <c r="H158" s="72"/>
    </row>
    <row r="159" ht="15.75" customHeight="1">
      <c r="A159" s="93"/>
      <c r="B159" s="72"/>
      <c r="C159" s="72"/>
      <c r="D159" s="72"/>
      <c r="E159" s="72"/>
      <c r="F159" s="72"/>
      <c r="G159" s="72"/>
      <c r="H159" s="72"/>
    </row>
    <row r="160" ht="15.75" customHeight="1">
      <c r="A160" s="93"/>
      <c r="B160" s="72"/>
      <c r="C160" s="72"/>
      <c r="D160" s="72"/>
      <c r="E160" s="72"/>
      <c r="F160" s="72"/>
      <c r="G160" s="72"/>
      <c r="H160" s="72"/>
    </row>
    <row r="161" ht="15.75" customHeight="1">
      <c r="A161" s="93"/>
      <c r="B161" s="72"/>
      <c r="C161" s="72"/>
      <c r="D161" s="72"/>
      <c r="E161" s="72"/>
      <c r="F161" s="72"/>
      <c r="G161" s="72"/>
      <c r="H161" s="72"/>
    </row>
    <row r="162" ht="15.75" customHeight="1">
      <c r="A162" s="93"/>
      <c r="B162" s="72"/>
      <c r="C162" s="72"/>
      <c r="D162" s="72"/>
      <c r="E162" s="72"/>
      <c r="F162" s="72"/>
      <c r="G162" s="72"/>
      <c r="H162" s="72"/>
    </row>
    <row r="163" ht="15.75" customHeight="1">
      <c r="A163" s="93"/>
      <c r="B163" s="72"/>
      <c r="C163" s="72"/>
      <c r="D163" s="72"/>
      <c r="E163" s="72"/>
      <c r="F163" s="72"/>
      <c r="G163" s="72"/>
      <c r="H163" s="72"/>
    </row>
    <row r="164" ht="15.75" customHeight="1">
      <c r="A164" s="93"/>
      <c r="B164" s="72"/>
      <c r="C164" s="72"/>
      <c r="D164" s="72"/>
      <c r="E164" s="72"/>
      <c r="F164" s="72"/>
      <c r="G164" s="72"/>
      <c r="H164" s="72"/>
    </row>
    <row r="165" ht="15.75" customHeight="1">
      <c r="A165" s="93"/>
      <c r="B165" s="72"/>
      <c r="C165" s="72"/>
      <c r="D165" s="72"/>
      <c r="E165" s="72"/>
      <c r="F165" s="72"/>
      <c r="G165" s="72"/>
      <c r="H165" s="72"/>
    </row>
    <row r="166" ht="15.75" customHeight="1">
      <c r="A166" s="93"/>
      <c r="B166" s="72"/>
      <c r="C166" s="72"/>
      <c r="D166" s="72"/>
      <c r="E166" s="72"/>
      <c r="F166" s="72"/>
      <c r="G166" s="72"/>
      <c r="H166" s="72"/>
    </row>
    <row r="167" ht="15.75" customHeight="1">
      <c r="A167" s="93"/>
      <c r="B167" s="72"/>
      <c r="C167" s="72"/>
      <c r="D167" s="72"/>
      <c r="E167" s="72"/>
      <c r="F167" s="72"/>
      <c r="G167" s="72"/>
      <c r="H167" s="72"/>
    </row>
    <row r="168" ht="15.75" customHeight="1">
      <c r="A168" s="93"/>
      <c r="B168" s="72"/>
      <c r="C168" s="72"/>
      <c r="D168" s="72"/>
      <c r="E168" s="72"/>
      <c r="F168" s="72"/>
      <c r="G168" s="72"/>
      <c r="H168" s="72"/>
    </row>
    <row r="169" ht="15.75" customHeight="1">
      <c r="A169" s="93"/>
      <c r="B169" s="72"/>
      <c r="C169" s="72"/>
      <c r="D169" s="72"/>
      <c r="E169" s="72"/>
      <c r="F169" s="72"/>
      <c r="G169" s="72"/>
      <c r="H169" s="72"/>
    </row>
    <row r="170" ht="15.75" customHeight="1">
      <c r="A170" s="93"/>
      <c r="B170" s="72"/>
      <c r="C170" s="72"/>
      <c r="D170" s="72"/>
      <c r="E170" s="72"/>
      <c r="F170" s="72"/>
      <c r="G170" s="72"/>
      <c r="H170" s="72"/>
    </row>
    <row r="171" ht="15.75" customHeight="1">
      <c r="A171" s="93"/>
      <c r="B171" s="72"/>
      <c r="C171" s="72"/>
      <c r="D171" s="72"/>
      <c r="E171" s="72"/>
      <c r="F171" s="72"/>
      <c r="G171" s="72"/>
      <c r="H171" s="72"/>
    </row>
    <row r="172" ht="15.75" customHeight="1">
      <c r="A172" s="93"/>
      <c r="B172" s="72"/>
      <c r="C172" s="72"/>
      <c r="D172" s="72"/>
      <c r="E172" s="72"/>
      <c r="F172" s="72"/>
      <c r="G172" s="72"/>
      <c r="H172" s="72"/>
    </row>
    <row r="173" ht="15.75" customHeight="1">
      <c r="A173" s="93"/>
      <c r="B173" s="72"/>
      <c r="C173" s="72"/>
      <c r="D173" s="72"/>
      <c r="E173" s="72"/>
      <c r="F173" s="72"/>
      <c r="G173" s="72"/>
      <c r="H173" s="72"/>
    </row>
    <row r="174" ht="15.75" customHeight="1">
      <c r="A174" s="93"/>
      <c r="B174" s="72"/>
      <c r="C174" s="72"/>
      <c r="D174" s="72"/>
      <c r="E174" s="72"/>
      <c r="F174" s="72"/>
      <c r="G174" s="72"/>
      <c r="H174" s="72"/>
    </row>
    <row r="175" ht="15.75" customHeight="1">
      <c r="A175" s="93"/>
      <c r="B175" s="72"/>
      <c r="C175" s="72"/>
      <c r="D175" s="72"/>
      <c r="E175" s="72"/>
      <c r="F175" s="72"/>
      <c r="G175" s="72"/>
      <c r="H175" s="72"/>
    </row>
    <row r="176" ht="15.75" customHeight="1">
      <c r="A176" s="93"/>
      <c r="B176" s="72"/>
      <c r="C176" s="72"/>
      <c r="D176" s="72"/>
      <c r="E176" s="72"/>
      <c r="F176" s="72"/>
      <c r="G176" s="72"/>
      <c r="H176" s="72"/>
    </row>
    <row r="177" ht="15.75" customHeight="1">
      <c r="A177" s="93"/>
      <c r="B177" s="72"/>
      <c r="C177" s="72"/>
      <c r="D177" s="72"/>
      <c r="E177" s="72"/>
      <c r="F177" s="72"/>
      <c r="G177" s="72"/>
      <c r="H177" s="72"/>
    </row>
    <row r="178" ht="15.75" customHeight="1">
      <c r="A178" s="93"/>
      <c r="B178" s="72"/>
      <c r="C178" s="72"/>
      <c r="D178" s="72"/>
      <c r="E178" s="72"/>
      <c r="F178" s="72"/>
      <c r="G178" s="72"/>
      <c r="H178" s="72"/>
    </row>
    <row r="179" ht="15.75" customHeight="1">
      <c r="A179" s="93"/>
      <c r="B179" s="72"/>
      <c r="C179" s="72"/>
      <c r="D179" s="72"/>
      <c r="E179" s="72"/>
      <c r="F179" s="72"/>
      <c r="G179" s="72"/>
      <c r="H179" s="72"/>
    </row>
    <row r="180" ht="15.75" customHeight="1">
      <c r="A180" s="93"/>
      <c r="B180" s="72"/>
      <c r="C180" s="72"/>
      <c r="D180" s="72"/>
      <c r="E180" s="72"/>
      <c r="F180" s="72"/>
      <c r="G180" s="72"/>
      <c r="H180" s="72"/>
    </row>
    <row r="181" ht="15.75" customHeight="1">
      <c r="A181" s="93"/>
      <c r="B181" s="72"/>
      <c r="C181" s="72"/>
      <c r="D181" s="72"/>
      <c r="E181" s="72"/>
      <c r="F181" s="72"/>
      <c r="G181" s="72"/>
      <c r="H181" s="72"/>
    </row>
    <row r="182" ht="15.75" customHeight="1">
      <c r="A182" s="93"/>
      <c r="B182" s="72"/>
      <c r="C182" s="72"/>
      <c r="D182" s="72"/>
      <c r="E182" s="72"/>
      <c r="F182" s="72"/>
      <c r="G182" s="72"/>
      <c r="H182" s="72"/>
    </row>
    <row r="183" ht="15.75" customHeight="1">
      <c r="A183" s="93"/>
      <c r="B183" s="72"/>
      <c r="C183" s="72"/>
      <c r="D183" s="72"/>
      <c r="E183" s="72"/>
      <c r="F183" s="72"/>
      <c r="G183" s="72"/>
      <c r="H183" s="72"/>
    </row>
    <row r="184" ht="15.75" customHeight="1">
      <c r="A184" s="93"/>
      <c r="B184" s="72"/>
      <c r="C184" s="72"/>
      <c r="D184" s="72"/>
      <c r="E184" s="72"/>
      <c r="F184" s="72"/>
      <c r="G184" s="72"/>
      <c r="H184" s="72"/>
    </row>
    <row r="185" ht="15.75" customHeight="1">
      <c r="A185" s="93"/>
      <c r="B185" s="72"/>
      <c r="C185" s="72"/>
      <c r="D185" s="72"/>
      <c r="E185" s="72"/>
      <c r="F185" s="72"/>
      <c r="G185" s="72"/>
      <c r="H185" s="72"/>
    </row>
    <row r="186" ht="15.75" customHeight="1">
      <c r="A186" s="93"/>
      <c r="B186" s="72"/>
      <c r="C186" s="72"/>
      <c r="D186" s="72"/>
      <c r="E186" s="72"/>
      <c r="F186" s="72"/>
      <c r="G186" s="72"/>
      <c r="H186" s="72"/>
    </row>
    <row r="187" ht="15.75" customHeight="1">
      <c r="A187" s="93"/>
      <c r="B187" s="72"/>
      <c r="C187" s="72"/>
      <c r="D187" s="72"/>
      <c r="E187" s="72"/>
      <c r="F187" s="72"/>
      <c r="G187" s="72"/>
      <c r="H187" s="72"/>
    </row>
    <row r="188" ht="15.75" customHeight="1">
      <c r="A188" s="93"/>
      <c r="B188" s="72"/>
      <c r="C188" s="72"/>
      <c r="D188" s="72"/>
      <c r="E188" s="72"/>
      <c r="F188" s="72"/>
      <c r="G188" s="72"/>
      <c r="H188" s="72"/>
    </row>
    <row r="189" ht="15.75" customHeight="1">
      <c r="A189" s="93"/>
      <c r="B189" s="72"/>
      <c r="C189" s="72"/>
      <c r="D189" s="72"/>
      <c r="E189" s="72"/>
      <c r="F189" s="72"/>
      <c r="G189" s="72"/>
      <c r="H189" s="72"/>
    </row>
    <row r="190" ht="15.75" customHeight="1">
      <c r="A190" s="93"/>
      <c r="B190" s="72"/>
      <c r="C190" s="72"/>
      <c r="D190" s="72"/>
      <c r="E190" s="72"/>
      <c r="F190" s="72"/>
      <c r="G190" s="72"/>
      <c r="H190" s="72"/>
    </row>
    <row r="191" ht="15.75" customHeight="1">
      <c r="A191" s="93"/>
      <c r="B191" s="72"/>
      <c r="C191" s="72"/>
      <c r="D191" s="72"/>
      <c r="E191" s="72"/>
      <c r="F191" s="72"/>
      <c r="G191" s="72"/>
      <c r="H191" s="72"/>
    </row>
    <row r="192" ht="15.75" customHeight="1">
      <c r="A192" s="93"/>
      <c r="B192" s="72"/>
      <c r="C192" s="72"/>
      <c r="D192" s="72"/>
      <c r="E192" s="72"/>
      <c r="F192" s="72"/>
      <c r="G192" s="72"/>
      <c r="H192" s="72"/>
    </row>
    <row r="193" ht="15.75" customHeight="1">
      <c r="A193" s="93"/>
      <c r="B193" s="72"/>
      <c r="C193" s="72"/>
      <c r="D193" s="72"/>
      <c r="E193" s="72"/>
      <c r="F193" s="72"/>
      <c r="G193" s="72"/>
      <c r="H193" s="72"/>
    </row>
    <row r="194" ht="15.75" customHeight="1">
      <c r="A194" s="93"/>
      <c r="B194" s="72"/>
      <c r="C194" s="72"/>
      <c r="D194" s="72"/>
      <c r="E194" s="72"/>
      <c r="F194" s="72"/>
      <c r="G194" s="72"/>
      <c r="H194" s="72"/>
    </row>
    <row r="195" ht="15.75" customHeight="1">
      <c r="A195" s="93"/>
      <c r="B195" s="72"/>
      <c r="C195" s="72"/>
      <c r="D195" s="72"/>
      <c r="E195" s="72"/>
      <c r="F195" s="72"/>
      <c r="G195" s="72"/>
      <c r="H195" s="72"/>
    </row>
    <row r="196" ht="15.75" customHeight="1">
      <c r="A196" s="93"/>
      <c r="B196" s="72"/>
      <c r="C196" s="72"/>
      <c r="D196" s="72"/>
      <c r="E196" s="72"/>
      <c r="F196" s="72"/>
      <c r="G196" s="72"/>
      <c r="H196" s="72"/>
    </row>
    <row r="197" ht="15.75" customHeight="1">
      <c r="A197" s="93"/>
      <c r="B197" s="72"/>
      <c r="C197" s="72"/>
      <c r="D197" s="72"/>
      <c r="E197" s="72"/>
      <c r="F197" s="72"/>
      <c r="G197" s="72"/>
      <c r="H197" s="72"/>
    </row>
    <row r="198" ht="15.75" customHeight="1">
      <c r="A198" s="93"/>
      <c r="B198" s="72"/>
      <c r="C198" s="72"/>
      <c r="D198" s="72"/>
      <c r="E198" s="72"/>
      <c r="F198" s="72"/>
      <c r="G198" s="72"/>
      <c r="H198" s="72"/>
    </row>
    <row r="199" ht="15.75" customHeight="1">
      <c r="A199" s="93"/>
      <c r="B199" s="72"/>
      <c r="C199" s="72"/>
      <c r="D199" s="72"/>
      <c r="E199" s="72"/>
      <c r="F199" s="72"/>
      <c r="G199" s="72"/>
      <c r="H199" s="72"/>
    </row>
    <row r="200" ht="15.75" customHeight="1">
      <c r="A200" s="93"/>
      <c r="B200" s="72"/>
      <c r="C200" s="72"/>
      <c r="D200" s="72"/>
      <c r="E200" s="72"/>
      <c r="F200" s="72"/>
      <c r="G200" s="72"/>
      <c r="H200" s="72"/>
    </row>
    <row r="201" ht="15.75" customHeight="1">
      <c r="A201" s="93"/>
      <c r="B201" s="72"/>
      <c r="C201" s="72"/>
      <c r="D201" s="72"/>
      <c r="E201" s="72"/>
      <c r="F201" s="72"/>
      <c r="G201" s="72"/>
      <c r="H201" s="72"/>
    </row>
    <row r="202" ht="15.75" customHeight="1">
      <c r="A202" s="93"/>
      <c r="B202" s="72"/>
      <c r="C202" s="72"/>
      <c r="D202" s="72"/>
      <c r="E202" s="72"/>
      <c r="F202" s="72"/>
      <c r="G202" s="72"/>
      <c r="H202" s="72"/>
    </row>
    <row r="203" ht="15.75" customHeight="1">
      <c r="A203" s="93"/>
      <c r="B203" s="72"/>
      <c r="C203" s="72"/>
      <c r="D203" s="72"/>
      <c r="E203" s="72"/>
      <c r="F203" s="72"/>
      <c r="G203" s="72"/>
      <c r="H203" s="72"/>
    </row>
    <row r="204" ht="15.75" customHeight="1">
      <c r="A204" s="93"/>
      <c r="B204" s="72"/>
      <c r="C204" s="72"/>
      <c r="D204" s="72"/>
      <c r="E204" s="72"/>
      <c r="F204" s="72"/>
      <c r="G204" s="72"/>
      <c r="H204" s="72"/>
    </row>
    <row r="205" ht="15.75" customHeight="1">
      <c r="A205" s="93"/>
      <c r="B205" s="72"/>
      <c r="C205" s="72"/>
      <c r="D205" s="72"/>
      <c r="E205" s="72"/>
      <c r="F205" s="72"/>
      <c r="G205" s="72"/>
      <c r="H205" s="72"/>
    </row>
    <row r="206" ht="15.75" customHeight="1">
      <c r="A206" s="93"/>
      <c r="B206" s="72"/>
      <c r="C206" s="72"/>
      <c r="D206" s="72"/>
      <c r="E206" s="72"/>
      <c r="F206" s="72"/>
      <c r="G206" s="72"/>
      <c r="H206" s="72"/>
    </row>
    <row r="207" ht="15.75" customHeight="1">
      <c r="A207" s="93"/>
      <c r="B207" s="72"/>
      <c r="C207" s="72"/>
      <c r="D207" s="72"/>
      <c r="E207" s="72"/>
      <c r="F207" s="72"/>
      <c r="G207" s="72"/>
      <c r="H207" s="72"/>
    </row>
    <row r="208" ht="15.75" customHeight="1">
      <c r="A208" s="93"/>
      <c r="B208" s="72"/>
      <c r="C208" s="72"/>
      <c r="D208" s="72"/>
      <c r="E208" s="72"/>
      <c r="F208" s="72"/>
      <c r="G208" s="72"/>
      <c r="H208" s="72"/>
    </row>
    <row r="209" ht="15.75" customHeight="1">
      <c r="A209" s="93"/>
      <c r="B209" s="72"/>
      <c r="C209" s="72"/>
      <c r="D209" s="72"/>
      <c r="E209" s="72"/>
      <c r="F209" s="72"/>
      <c r="G209" s="72"/>
      <c r="H209" s="72"/>
    </row>
    <row r="210" ht="15.75" customHeight="1">
      <c r="A210" s="93"/>
      <c r="B210" s="72"/>
      <c r="C210" s="72"/>
      <c r="D210" s="72"/>
      <c r="E210" s="72"/>
      <c r="F210" s="72"/>
      <c r="G210" s="72"/>
      <c r="H210" s="72"/>
    </row>
    <row r="211" ht="15.75" customHeight="1">
      <c r="A211" s="93"/>
      <c r="B211" s="72"/>
      <c r="C211" s="72"/>
      <c r="D211" s="72"/>
      <c r="E211" s="72"/>
      <c r="F211" s="72"/>
      <c r="G211" s="72"/>
      <c r="H211" s="72"/>
    </row>
    <row r="212" ht="15.75" customHeight="1">
      <c r="A212" s="93"/>
      <c r="B212" s="72"/>
      <c r="C212" s="72"/>
      <c r="D212" s="72"/>
      <c r="E212" s="72"/>
      <c r="F212" s="72"/>
      <c r="G212" s="72"/>
      <c r="H212" s="72"/>
    </row>
    <row r="213" ht="15.75" customHeight="1">
      <c r="A213" s="93"/>
      <c r="B213" s="72"/>
      <c r="C213" s="72"/>
      <c r="D213" s="72"/>
      <c r="E213" s="72"/>
      <c r="F213" s="72"/>
      <c r="G213" s="72"/>
      <c r="H213" s="72"/>
    </row>
    <row r="214" ht="15.75" customHeight="1">
      <c r="A214" s="93"/>
      <c r="B214" s="72"/>
      <c r="C214" s="72"/>
      <c r="D214" s="72"/>
      <c r="E214" s="72"/>
      <c r="F214" s="72"/>
      <c r="G214" s="72"/>
      <c r="H214" s="72"/>
    </row>
    <row r="215" ht="15.75" customHeight="1">
      <c r="A215" s="93"/>
      <c r="B215" s="72"/>
      <c r="C215" s="72"/>
      <c r="D215" s="72"/>
      <c r="E215" s="72"/>
      <c r="F215" s="72"/>
      <c r="G215" s="72"/>
      <c r="H215" s="72"/>
    </row>
    <row r="216" ht="15.75" customHeight="1">
      <c r="A216" s="93"/>
      <c r="B216" s="72"/>
      <c r="C216" s="72"/>
      <c r="D216" s="72"/>
      <c r="E216" s="72"/>
      <c r="F216" s="72"/>
      <c r="G216" s="72"/>
      <c r="H216" s="72"/>
    </row>
    <row r="217" ht="15.75" customHeight="1">
      <c r="A217" s="93"/>
      <c r="B217" s="72"/>
      <c r="C217" s="72"/>
      <c r="D217" s="72"/>
      <c r="E217" s="72"/>
      <c r="F217" s="72"/>
      <c r="G217" s="72"/>
      <c r="H217" s="72"/>
    </row>
    <row r="218" ht="15.75" customHeight="1">
      <c r="A218" s="93"/>
      <c r="B218" s="72"/>
      <c r="C218" s="72"/>
      <c r="D218" s="72"/>
      <c r="E218" s="72"/>
      <c r="F218" s="72"/>
      <c r="G218" s="72"/>
      <c r="H218" s="72"/>
    </row>
    <row r="219" ht="15.75" customHeight="1">
      <c r="A219" s="93"/>
      <c r="B219" s="72"/>
      <c r="C219" s="72"/>
      <c r="D219" s="72"/>
      <c r="E219" s="72"/>
      <c r="F219" s="72"/>
      <c r="G219" s="72"/>
      <c r="H219" s="72"/>
    </row>
    <row r="220">
      <c r="A220" s="93"/>
      <c r="B220" s="72"/>
      <c r="C220" s="72"/>
      <c r="D220" s="72"/>
      <c r="E220" s="72"/>
      <c r="F220" s="72"/>
      <c r="G220" s="72"/>
      <c r="H220" s="72"/>
    </row>
    <row r="221">
      <c r="A221" s="93"/>
      <c r="B221" s="72"/>
      <c r="C221" s="72"/>
      <c r="D221" s="72"/>
      <c r="E221" s="72"/>
      <c r="F221" s="72"/>
      <c r="G221" s="72"/>
      <c r="H221" s="72"/>
    </row>
    <row r="222">
      <c r="A222" s="93"/>
      <c r="B222" s="72"/>
      <c r="C222" s="72"/>
      <c r="D222" s="72"/>
      <c r="E222" s="72"/>
      <c r="F222" s="72"/>
      <c r="G222" s="72"/>
      <c r="H222" s="72"/>
    </row>
    <row r="223">
      <c r="A223" s="93"/>
      <c r="B223" s="72"/>
      <c r="C223" s="72"/>
      <c r="D223" s="72"/>
      <c r="E223" s="72"/>
      <c r="F223" s="72"/>
      <c r="G223" s="72"/>
      <c r="H223" s="72"/>
    </row>
    <row r="224">
      <c r="A224" s="93"/>
      <c r="B224" s="72"/>
      <c r="C224" s="72"/>
      <c r="D224" s="72"/>
      <c r="E224" s="72"/>
      <c r="F224" s="72"/>
      <c r="G224" s="72"/>
      <c r="H224" s="72"/>
    </row>
    <row r="225">
      <c r="A225" s="93"/>
      <c r="B225" s="72"/>
      <c r="C225" s="72"/>
      <c r="D225" s="72"/>
      <c r="E225" s="72"/>
      <c r="F225" s="72"/>
      <c r="G225" s="72"/>
      <c r="H225" s="72"/>
    </row>
    <row r="226">
      <c r="A226" s="93"/>
      <c r="B226" s="72"/>
      <c r="C226" s="72"/>
      <c r="D226" s="72"/>
      <c r="E226" s="72"/>
      <c r="F226" s="72"/>
      <c r="G226" s="72"/>
      <c r="H226" s="72"/>
    </row>
    <row r="227">
      <c r="A227" s="93"/>
      <c r="B227" s="72"/>
      <c r="C227" s="72"/>
      <c r="D227" s="72"/>
      <c r="E227" s="72"/>
      <c r="F227" s="72"/>
      <c r="G227" s="72"/>
      <c r="H227" s="72"/>
    </row>
    <row r="228">
      <c r="A228" s="93"/>
      <c r="B228" s="72"/>
      <c r="C228" s="72"/>
      <c r="D228" s="72"/>
      <c r="E228" s="72"/>
      <c r="F228" s="72"/>
      <c r="G228" s="72"/>
      <c r="H228" s="72"/>
    </row>
    <row r="229">
      <c r="A229" s="93"/>
      <c r="B229" s="72"/>
      <c r="C229" s="72"/>
      <c r="D229" s="72"/>
      <c r="E229" s="72"/>
      <c r="F229" s="72"/>
      <c r="G229" s="72"/>
      <c r="H229" s="72"/>
    </row>
    <row r="230">
      <c r="A230" s="93"/>
      <c r="B230" s="72"/>
      <c r="C230" s="72"/>
      <c r="D230" s="72"/>
      <c r="E230" s="72"/>
      <c r="F230" s="72"/>
      <c r="G230" s="72"/>
      <c r="H230" s="72"/>
    </row>
    <row r="231">
      <c r="A231" s="93"/>
      <c r="B231" s="72"/>
      <c r="C231" s="72"/>
      <c r="D231" s="72"/>
      <c r="E231" s="72"/>
      <c r="F231" s="72"/>
      <c r="G231" s="72"/>
      <c r="H231" s="72"/>
    </row>
    <row r="232">
      <c r="A232" s="93"/>
      <c r="B232" s="72"/>
      <c r="C232" s="72"/>
      <c r="D232" s="72"/>
      <c r="E232" s="72"/>
      <c r="F232" s="72"/>
      <c r="G232" s="72"/>
      <c r="H232" s="72"/>
    </row>
    <row r="233">
      <c r="A233" s="93"/>
      <c r="B233" s="72"/>
      <c r="C233" s="72"/>
      <c r="D233" s="72"/>
      <c r="E233" s="72"/>
      <c r="F233" s="72"/>
      <c r="G233" s="72"/>
      <c r="H233" s="72"/>
    </row>
    <row r="234">
      <c r="A234" s="93"/>
      <c r="B234" s="72"/>
      <c r="C234" s="72"/>
      <c r="D234" s="72"/>
      <c r="E234" s="72"/>
      <c r="F234" s="72"/>
      <c r="G234" s="72"/>
      <c r="H234" s="72"/>
    </row>
    <row r="235" ht="15.75" customHeight="1">
      <c r="A235" s="93"/>
      <c r="B235" s="72"/>
      <c r="C235" s="72"/>
      <c r="D235" s="72"/>
      <c r="E235" s="72"/>
      <c r="F235" s="72"/>
      <c r="G235" s="72"/>
      <c r="H235" s="72"/>
    </row>
    <row r="236" ht="15.75" customHeight="1">
      <c r="A236" s="93"/>
      <c r="B236" s="72"/>
      <c r="C236" s="72"/>
      <c r="D236" s="72"/>
      <c r="E236" s="72"/>
      <c r="F236" s="72"/>
      <c r="G236" s="72"/>
      <c r="H236" s="72"/>
    </row>
    <row r="237" ht="15.75" customHeight="1">
      <c r="A237" s="93"/>
      <c r="B237" s="72"/>
      <c r="C237" s="72"/>
      <c r="D237" s="72"/>
      <c r="E237" s="72"/>
      <c r="F237" s="72"/>
      <c r="G237" s="72"/>
      <c r="H237" s="72"/>
    </row>
    <row r="238" ht="15.75" customHeight="1">
      <c r="A238" s="93"/>
      <c r="B238" s="72"/>
      <c r="C238" s="72"/>
      <c r="D238" s="72"/>
      <c r="E238" s="72"/>
      <c r="F238" s="72"/>
      <c r="G238" s="72"/>
      <c r="H238" s="72"/>
    </row>
    <row r="239" ht="15.75" customHeight="1">
      <c r="A239" s="93"/>
      <c r="B239" s="72"/>
      <c r="C239" s="72"/>
      <c r="D239" s="72"/>
      <c r="E239" s="72"/>
      <c r="F239" s="72"/>
      <c r="G239" s="72"/>
      <c r="H239" s="72"/>
    </row>
    <row r="240" ht="15.75" customHeight="1">
      <c r="A240" s="93"/>
      <c r="B240" s="72"/>
      <c r="C240" s="72"/>
      <c r="D240" s="72"/>
      <c r="E240" s="72"/>
      <c r="F240" s="72"/>
      <c r="G240" s="72"/>
      <c r="H240" s="72"/>
    </row>
    <row r="241" ht="15.75" customHeight="1">
      <c r="A241" s="93"/>
      <c r="B241" s="72"/>
      <c r="C241" s="72"/>
      <c r="D241" s="72"/>
      <c r="E241" s="72"/>
      <c r="F241" s="72"/>
      <c r="G241" s="72"/>
      <c r="H241" s="72"/>
    </row>
    <row r="242" ht="15.75" customHeight="1">
      <c r="A242" s="93"/>
      <c r="B242" s="72"/>
      <c r="C242" s="72"/>
      <c r="D242" s="72"/>
      <c r="E242" s="72"/>
      <c r="F242" s="72"/>
      <c r="G242" s="72"/>
      <c r="H242" s="72"/>
    </row>
    <row r="243" ht="15.75" customHeight="1">
      <c r="A243" s="93"/>
      <c r="B243" s="72"/>
      <c r="C243" s="72"/>
      <c r="D243" s="72"/>
      <c r="E243" s="72"/>
      <c r="F243" s="72"/>
      <c r="G243" s="72"/>
      <c r="H243" s="72"/>
    </row>
    <row r="244" ht="15.75" customHeight="1">
      <c r="A244" s="93"/>
      <c r="B244" s="72"/>
      <c r="C244" s="72"/>
      <c r="D244" s="72"/>
      <c r="E244" s="72"/>
      <c r="F244" s="72"/>
      <c r="G244" s="72"/>
      <c r="H244" s="72"/>
    </row>
    <row r="245" ht="15.75" customHeight="1">
      <c r="A245" s="93"/>
      <c r="B245" s="72"/>
      <c r="C245" s="72"/>
      <c r="D245" s="72"/>
      <c r="E245" s="72"/>
      <c r="F245" s="72"/>
      <c r="G245" s="72"/>
      <c r="H245" s="72"/>
    </row>
    <row r="246" ht="15.75" customHeight="1">
      <c r="A246" s="93"/>
      <c r="B246" s="72"/>
      <c r="C246" s="72"/>
      <c r="D246" s="72"/>
      <c r="E246" s="72"/>
      <c r="F246" s="72"/>
      <c r="G246" s="72"/>
      <c r="H246" s="72"/>
    </row>
    <row r="247" ht="15.75" customHeight="1">
      <c r="A247" s="93"/>
      <c r="B247" s="72"/>
      <c r="C247" s="72"/>
      <c r="D247" s="72"/>
      <c r="E247" s="72"/>
      <c r="F247" s="72"/>
      <c r="G247" s="72"/>
      <c r="H247" s="72"/>
    </row>
    <row r="248" ht="15.75" customHeight="1">
      <c r="A248" s="93"/>
      <c r="B248" s="72"/>
      <c r="C248" s="72"/>
      <c r="D248" s="72"/>
      <c r="E248" s="72"/>
      <c r="F248" s="72"/>
      <c r="G248" s="72"/>
      <c r="H248" s="72"/>
    </row>
    <row r="249" ht="15.75" customHeight="1">
      <c r="A249" s="93"/>
      <c r="B249" s="72"/>
      <c r="C249" s="72"/>
      <c r="D249" s="72"/>
      <c r="E249" s="72"/>
      <c r="F249" s="72"/>
      <c r="G249" s="72"/>
      <c r="H249" s="72"/>
    </row>
    <row r="250" ht="15.75" customHeight="1">
      <c r="A250" s="93"/>
      <c r="B250" s="72"/>
      <c r="C250" s="72"/>
      <c r="D250" s="72"/>
      <c r="E250" s="72"/>
      <c r="F250" s="72"/>
      <c r="G250" s="72"/>
      <c r="H250" s="72"/>
    </row>
    <row r="251" ht="15.75" customHeight="1">
      <c r="A251" s="93"/>
      <c r="B251" s="72"/>
      <c r="C251" s="72"/>
      <c r="D251" s="72"/>
      <c r="E251" s="72"/>
      <c r="F251" s="72"/>
      <c r="G251" s="72"/>
      <c r="H251" s="72"/>
    </row>
    <row r="252" ht="15.75" customHeight="1">
      <c r="A252" s="93"/>
      <c r="B252" s="72"/>
      <c r="C252" s="72"/>
      <c r="D252" s="72"/>
      <c r="E252" s="72"/>
      <c r="F252" s="72"/>
      <c r="G252" s="72"/>
      <c r="H252" s="72"/>
    </row>
    <row r="253" ht="15.75" customHeight="1">
      <c r="A253" s="93"/>
      <c r="B253" s="72"/>
      <c r="C253" s="72"/>
      <c r="D253" s="72"/>
      <c r="E253" s="72"/>
      <c r="F253" s="72"/>
      <c r="G253" s="72"/>
      <c r="H253" s="72"/>
    </row>
    <row r="254" ht="15.75" customHeight="1">
      <c r="A254" s="93"/>
      <c r="B254" s="72"/>
      <c r="C254" s="72"/>
      <c r="D254" s="72"/>
      <c r="E254" s="72"/>
      <c r="F254" s="72"/>
      <c r="G254" s="72"/>
      <c r="H254" s="72"/>
    </row>
    <row r="255" ht="15.75" customHeight="1">
      <c r="A255" s="93"/>
      <c r="B255" s="72"/>
      <c r="C255" s="72"/>
      <c r="D255" s="72"/>
      <c r="E255" s="72"/>
      <c r="F255" s="72"/>
      <c r="G255" s="72"/>
      <c r="H255" s="72"/>
    </row>
    <row r="256" ht="15.75" customHeight="1">
      <c r="A256" s="93"/>
      <c r="B256" s="72"/>
      <c r="C256" s="72"/>
      <c r="D256" s="72"/>
      <c r="E256" s="72"/>
      <c r="F256" s="72"/>
      <c r="G256" s="72"/>
      <c r="H256" s="72"/>
    </row>
    <row r="257" ht="15.75" customHeight="1">
      <c r="A257" s="93"/>
      <c r="B257" s="72"/>
      <c r="C257" s="72"/>
      <c r="D257" s="72"/>
      <c r="E257" s="72"/>
      <c r="F257" s="72"/>
      <c r="G257" s="72"/>
      <c r="H257" s="72"/>
    </row>
    <row r="258" ht="15.75" customHeight="1">
      <c r="A258" s="93"/>
      <c r="B258" s="72"/>
      <c r="C258" s="72"/>
      <c r="D258" s="72"/>
      <c r="E258" s="72"/>
      <c r="F258" s="72"/>
      <c r="G258" s="72"/>
      <c r="H258" s="72"/>
    </row>
    <row r="259" ht="15.75" customHeight="1">
      <c r="A259" s="93"/>
      <c r="B259" s="72"/>
      <c r="C259" s="72"/>
      <c r="D259" s="72"/>
      <c r="E259" s="72"/>
      <c r="F259" s="72"/>
      <c r="G259" s="72"/>
      <c r="H259" s="72"/>
    </row>
    <row r="260" ht="15.75" customHeight="1">
      <c r="A260" s="93"/>
      <c r="B260" s="72"/>
      <c r="C260" s="72"/>
      <c r="D260" s="72"/>
      <c r="E260" s="72"/>
      <c r="F260" s="72"/>
      <c r="G260" s="72"/>
      <c r="H260" s="72"/>
    </row>
    <row r="261" ht="15.75" customHeight="1">
      <c r="A261" s="93"/>
      <c r="B261" s="72"/>
      <c r="C261" s="72"/>
      <c r="D261" s="72"/>
      <c r="E261" s="72"/>
      <c r="F261" s="72"/>
      <c r="G261" s="72"/>
      <c r="H261" s="72"/>
    </row>
    <row r="262" ht="15.75" customHeight="1">
      <c r="A262" s="93"/>
      <c r="B262" s="72"/>
      <c r="C262" s="72"/>
      <c r="D262" s="72"/>
      <c r="E262" s="72"/>
      <c r="F262" s="72"/>
      <c r="G262" s="72"/>
      <c r="H262" s="72"/>
    </row>
    <row r="263" ht="15.75" customHeight="1">
      <c r="A263" s="93"/>
      <c r="B263" s="72"/>
      <c r="C263" s="72"/>
      <c r="D263" s="72"/>
      <c r="E263" s="72"/>
      <c r="F263" s="72"/>
      <c r="G263" s="72"/>
      <c r="H263" s="72"/>
    </row>
    <row r="264" ht="15.75" customHeight="1">
      <c r="A264" s="93"/>
      <c r="B264" s="72"/>
      <c r="C264" s="72"/>
      <c r="D264" s="72"/>
      <c r="E264" s="72"/>
      <c r="F264" s="72"/>
      <c r="G264" s="72"/>
      <c r="H264" s="72"/>
    </row>
    <row r="265" ht="15.75" customHeight="1">
      <c r="A265" s="93"/>
      <c r="B265" s="72"/>
      <c r="C265" s="72"/>
      <c r="D265" s="72"/>
      <c r="E265" s="72"/>
      <c r="F265" s="72"/>
      <c r="G265" s="72"/>
      <c r="H265" s="72"/>
    </row>
    <row r="266" ht="15.75" customHeight="1">
      <c r="A266" s="93"/>
      <c r="B266" s="72"/>
      <c r="C266" s="72"/>
      <c r="D266" s="72"/>
      <c r="E266" s="72"/>
      <c r="F266" s="72"/>
      <c r="G266" s="72"/>
      <c r="H266" s="72"/>
    </row>
    <row r="267" ht="15.75" customHeight="1">
      <c r="A267" s="93"/>
      <c r="B267" s="72"/>
      <c r="C267" s="72"/>
      <c r="D267" s="72"/>
      <c r="E267" s="72"/>
      <c r="F267" s="72"/>
      <c r="G267" s="72"/>
      <c r="H267" s="72"/>
    </row>
    <row r="268" ht="15.75" customHeight="1">
      <c r="A268" s="93"/>
      <c r="B268" s="72"/>
      <c r="C268" s="72"/>
      <c r="D268" s="72"/>
      <c r="E268" s="72"/>
      <c r="F268" s="72"/>
      <c r="G268" s="72"/>
      <c r="H268" s="72"/>
    </row>
    <row r="269" ht="15.75" customHeight="1">
      <c r="A269" s="93"/>
      <c r="B269" s="72"/>
      <c r="C269" s="72"/>
      <c r="D269" s="72"/>
      <c r="E269" s="72"/>
      <c r="F269" s="72"/>
      <c r="G269" s="72"/>
      <c r="H269" s="72"/>
    </row>
    <row r="270" ht="15.75" customHeight="1">
      <c r="A270" s="93"/>
      <c r="B270" s="72"/>
      <c r="C270" s="72"/>
      <c r="D270" s="72"/>
      <c r="E270" s="72"/>
      <c r="F270" s="72"/>
      <c r="G270" s="72"/>
      <c r="H270" s="72"/>
    </row>
    <row r="271" ht="15.75" customHeight="1">
      <c r="A271" s="93"/>
      <c r="B271" s="72"/>
      <c r="C271" s="72"/>
      <c r="D271" s="72"/>
      <c r="E271" s="72"/>
      <c r="F271" s="72"/>
      <c r="G271" s="72"/>
      <c r="H271" s="72"/>
    </row>
    <row r="272" ht="15.75" customHeight="1">
      <c r="A272" s="93"/>
      <c r="B272" s="72"/>
      <c r="C272" s="72"/>
      <c r="D272" s="72"/>
      <c r="E272" s="72"/>
      <c r="F272" s="72"/>
      <c r="G272" s="72"/>
      <c r="H272" s="72"/>
    </row>
    <row r="273" ht="15.75" customHeight="1">
      <c r="A273" s="93"/>
      <c r="B273" s="72"/>
      <c r="C273" s="72"/>
      <c r="D273" s="72"/>
      <c r="E273" s="72"/>
      <c r="F273" s="72"/>
      <c r="G273" s="72"/>
      <c r="H273" s="72"/>
    </row>
    <row r="274" ht="15.75" customHeight="1">
      <c r="A274" s="93"/>
      <c r="B274" s="72"/>
      <c r="C274" s="72"/>
      <c r="D274" s="72"/>
      <c r="E274" s="72"/>
      <c r="F274" s="72"/>
      <c r="G274" s="72"/>
      <c r="H274" s="72"/>
    </row>
    <row r="275" ht="15.75" customHeight="1">
      <c r="A275" s="93"/>
      <c r="B275" s="72"/>
      <c r="C275" s="72"/>
      <c r="D275" s="72"/>
      <c r="E275" s="72"/>
      <c r="F275" s="72"/>
      <c r="G275" s="72"/>
      <c r="H275" s="72"/>
    </row>
    <row r="276" ht="15.75" customHeight="1">
      <c r="A276" s="93"/>
      <c r="B276" s="72"/>
      <c r="C276" s="72"/>
      <c r="D276" s="72"/>
      <c r="E276" s="72"/>
      <c r="F276" s="72"/>
      <c r="G276" s="72"/>
      <c r="H276" s="72"/>
    </row>
    <row r="277" ht="15.75" customHeight="1">
      <c r="A277" s="93"/>
      <c r="B277" s="72"/>
      <c r="C277" s="72"/>
      <c r="D277" s="72"/>
      <c r="E277" s="72"/>
      <c r="F277" s="72"/>
      <c r="G277" s="72"/>
      <c r="H277" s="72"/>
    </row>
    <row r="278" ht="15.75" customHeight="1">
      <c r="A278" s="93"/>
      <c r="B278" s="72"/>
      <c r="C278" s="72"/>
      <c r="D278" s="72"/>
      <c r="E278" s="72"/>
      <c r="F278" s="72"/>
      <c r="G278" s="72"/>
      <c r="H278" s="72"/>
    </row>
    <row r="279" ht="15.75" customHeight="1">
      <c r="A279" s="93"/>
      <c r="B279" s="72"/>
      <c r="C279" s="72"/>
      <c r="D279" s="72"/>
      <c r="E279" s="72"/>
      <c r="F279" s="72"/>
      <c r="G279" s="72"/>
      <c r="H279" s="72"/>
    </row>
    <row r="280" ht="15.75" customHeight="1">
      <c r="A280" s="93"/>
      <c r="B280" s="72"/>
      <c r="C280" s="72"/>
      <c r="D280" s="72"/>
      <c r="E280" s="72"/>
      <c r="F280" s="72"/>
      <c r="G280" s="72"/>
      <c r="H280" s="72"/>
    </row>
    <row r="281" ht="15.75" customHeight="1">
      <c r="A281" s="93"/>
      <c r="B281" s="72"/>
      <c r="C281" s="72"/>
      <c r="D281" s="72"/>
      <c r="E281" s="72"/>
      <c r="F281" s="72"/>
      <c r="G281" s="72"/>
      <c r="H281" s="72"/>
    </row>
    <row r="282" ht="15.75" customHeight="1">
      <c r="A282" s="93"/>
      <c r="B282" s="72"/>
      <c r="C282" s="72"/>
      <c r="D282" s="72"/>
      <c r="E282" s="72"/>
      <c r="F282" s="72"/>
      <c r="G282" s="72"/>
      <c r="H282" s="72"/>
    </row>
    <row r="283" ht="15.75" customHeight="1">
      <c r="A283" s="93"/>
      <c r="B283" s="72"/>
      <c r="C283" s="72"/>
      <c r="D283" s="72"/>
      <c r="E283" s="72"/>
      <c r="F283" s="72"/>
      <c r="G283" s="72"/>
      <c r="H283" s="72"/>
    </row>
    <row r="284" ht="15.75" customHeight="1">
      <c r="A284" s="93"/>
      <c r="B284" s="72"/>
      <c r="C284" s="72"/>
      <c r="D284" s="72"/>
      <c r="E284" s="72"/>
      <c r="F284" s="72"/>
      <c r="G284" s="72"/>
      <c r="H284" s="72"/>
    </row>
    <row r="285" ht="15.75" customHeight="1">
      <c r="A285" s="93"/>
      <c r="B285" s="72"/>
      <c r="C285" s="72"/>
      <c r="D285" s="72"/>
      <c r="E285" s="72"/>
      <c r="F285" s="72"/>
      <c r="G285" s="72"/>
      <c r="H285" s="72"/>
    </row>
    <row r="286" ht="15.75" customHeight="1">
      <c r="A286" s="93"/>
      <c r="B286" s="72"/>
      <c r="C286" s="72"/>
      <c r="D286" s="72"/>
      <c r="E286" s="72"/>
      <c r="F286" s="72"/>
      <c r="G286" s="72"/>
      <c r="H286" s="72"/>
    </row>
    <row r="287" ht="15.75" customHeight="1">
      <c r="A287" s="93"/>
      <c r="B287" s="72"/>
      <c r="C287" s="72"/>
      <c r="D287" s="72"/>
      <c r="E287" s="72"/>
      <c r="F287" s="72"/>
      <c r="G287" s="72"/>
      <c r="H287" s="72"/>
    </row>
    <row r="288" ht="15.75" customHeight="1">
      <c r="A288" s="93"/>
      <c r="B288" s="72"/>
      <c r="C288" s="72"/>
      <c r="D288" s="72"/>
      <c r="E288" s="72"/>
      <c r="F288" s="72"/>
      <c r="G288" s="72"/>
      <c r="H288" s="72"/>
    </row>
    <row r="289" ht="15.75" customHeight="1">
      <c r="A289" s="93"/>
      <c r="B289" s="72"/>
      <c r="C289" s="72"/>
      <c r="D289" s="72"/>
      <c r="E289" s="72"/>
      <c r="F289" s="72"/>
      <c r="G289" s="72"/>
      <c r="H289" s="72"/>
    </row>
    <row r="290" ht="15.75" customHeight="1">
      <c r="A290" s="93"/>
      <c r="B290" s="72"/>
      <c r="C290" s="72"/>
      <c r="D290" s="72"/>
      <c r="E290" s="72"/>
      <c r="F290" s="72"/>
      <c r="G290" s="72"/>
      <c r="H290" s="72"/>
    </row>
    <row r="291" ht="15.75" customHeight="1">
      <c r="A291" s="93"/>
      <c r="B291" s="72"/>
      <c r="C291" s="72"/>
      <c r="D291" s="72"/>
      <c r="E291" s="72"/>
      <c r="F291" s="72"/>
      <c r="G291" s="72"/>
      <c r="H291" s="72"/>
    </row>
    <row r="292" ht="15.75" customHeight="1">
      <c r="A292" s="93"/>
      <c r="B292" s="72"/>
      <c r="C292" s="72"/>
      <c r="D292" s="72"/>
      <c r="E292" s="72"/>
      <c r="F292" s="72"/>
      <c r="G292" s="72"/>
      <c r="H292" s="72"/>
    </row>
    <row r="293" ht="15.75" customHeight="1">
      <c r="A293" s="93"/>
      <c r="B293" s="72"/>
      <c r="C293" s="72"/>
      <c r="D293" s="72"/>
      <c r="E293" s="72"/>
      <c r="F293" s="72"/>
      <c r="G293" s="72"/>
      <c r="H293" s="72"/>
    </row>
    <row r="294" ht="15.75" customHeight="1">
      <c r="A294" s="93"/>
      <c r="B294" s="72"/>
      <c r="C294" s="72"/>
      <c r="D294" s="72"/>
      <c r="E294" s="72"/>
      <c r="F294" s="72"/>
      <c r="G294" s="72"/>
      <c r="H294" s="72"/>
    </row>
    <row r="295" ht="15.75" customHeight="1">
      <c r="A295" s="93"/>
      <c r="B295" s="72"/>
      <c r="C295" s="72"/>
      <c r="D295" s="72"/>
      <c r="E295" s="72"/>
      <c r="F295" s="72"/>
      <c r="G295" s="72"/>
      <c r="H295" s="72"/>
    </row>
    <row r="296" ht="15.75" customHeight="1">
      <c r="A296" s="93"/>
      <c r="B296" s="72"/>
      <c r="C296" s="72"/>
      <c r="D296" s="72"/>
      <c r="E296" s="72"/>
      <c r="F296" s="72"/>
      <c r="G296" s="72"/>
      <c r="H296" s="72"/>
    </row>
    <row r="297" ht="15.75" customHeight="1">
      <c r="A297" s="93"/>
      <c r="B297" s="72"/>
      <c r="C297" s="72"/>
      <c r="D297" s="72"/>
      <c r="E297" s="72"/>
      <c r="F297" s="72"/>
      <c r="G297" s="72"/>
      <c r="H297" s="72"/>
    </row>
    <row r="298" ht="15.75" customHeight="1">
      <c r="A298" s="93"/>
      <c r="B298" s="72"/>
      <c r="C298" s="72"/>
      <c r="D298" s="72"/>
      <c r="E298" s="72"/>
      <c r="F298" s="72"/>
      <c r="G298" s="72"/>
      <c r="H298" s="72"/>
    </row>
    <row r="299" ht="15.75" customHeight="1">
      <c r="A299" s="93"/>
      <c r="B299" s="72"/>
      <c r="C299" s="72"/>
      <c r="D299" s="72"/>
      <c r="E299" s="72"/>
      <c r="F299" s="72"/>
      <c r="G299" s="72"/>
      <c r="H299" s="72"/>
    </row>
    <row r="300" ht="15.75" customHeight="1">
      <c r="A300" s="93"/>
      <c r="B300" s="72"/>
      <c r="C300" s="72"/>
      <c r="D300" s="72"/>
      <c r="E300" s="72"/>
      <c r="F300" s="72"/>
      <c r="G300" s="72"/>
      <c r="H300" s="72"/>
    </row>
    <row r="301" ht="15.75" customHeight="1">
      <c r="A301" s="93"/>
      <c r="B301" s="72"/>
      <c r="C301" s="72"/>
      <c r="D301" s="72"/>
      <c r="E301" s="72"/>
      <c r="F301" s="72"/>
      <c r="G301" s="72"/>
      <c r="H301" s="72"/>
    </row>
    <row r="302" ht="15.75" customHeight="1">
      <c r="A302" s="93"/>
      <c r="B302" s="72"/>
      <c r="C302" s="72"/>
      <c r="D302" s="72"/>
      <c r="E302" s="72"/>
      <c r="F302" s="72"/>
      <c r="G302" s="72"/>
      <c r="H302" s="72"/>
    </row>
    <row r="303" ht="15.75" customHeight="1">
      <c r="A303" s="93"/>
      <c r="B303" s="72"/>
      <c r="C303" s="72"/>
      <c r="D303" s="72"/>
      <c r="E303" s="72"/>
      <c r="F303" s="72"/>
      <c r="G303" s="72"/>
      <c r="H303" s="72"/>
    </row>
    <row r="304" ht="15.75" customHeight="1">
      <c r="A304" s="93"/>
      <c r="B304" s="72"/>
      <c r="C304" s="72"/>
      <c r="D304" s="72"/>
      <c r="E304" s="72"/>
      <c r="F304" s="72"/>
      <c r="G304" s="72"/>
      <c r="H304" s="72"/>
    </row>
    <row r="305" ht="15.75" customHeight="1">
      <c r="A305" s="93"/>
      <c r="B305" s="72"/>
      <c r="C305" s="72"/>
      <c r="D305" s="72"/>
      <c r="E305" s="72"/>
      <c r="F305" s="72"/>
      <c r="G305" s="72"/>
      <c r="H305" s="72"/>
    </row>
    <row r="306" ht="15.75" customHeight="1">
      <c r="A306" s="93"/>
      <c r="B306" s="72"/>
      <c r="C306" s="72"/>
      <c r="D306" s="72"/>
      <c r="E306" s="72"/>
      <c r="F306" s="72"/>
      <c r="G306" s="72"/>
      <c r="H306" s="72"/>
    </row>
    <row r="307" ht="15.75" customHeight="1">
      <c r="A307" s="93"/>
      <c r="B307" s="72"/>
      <c r="C307" s="72"/>
      <c r="D307" s="72"/>
      <c r="E307" s="72"/>
      <c r="F307" s="72"/>
      <c r="G307" s="72"/>
      <c r="H307" s="72"/>
    </row>
    <row r="308" ht="15.75" customHeight="1">
      <c r="A308" s="93"/>
      <c r="B308" s="72"/>
      <c r="C308" s="72"/>
      <c r="D308" s="72"/>
      <c r="E308" s="72"/>
      <c r="F308" s="72"/>
      <c r="G308" s="72"/>
      <c r="H308" s="72"/>
    </row>
    <row r="309" ht="15.75" customHeight="1">
      <c r="A309" s="93"/>
      <c r="B309" s="72"/>
      <c r="C309" s="72"/>
      <c r="D309" s="72"/>
      <c r="E309" s="72"/>
      <c r="F309" s="72"/>
      <c r="G309" s="72"/>
      <c r="H309" s="72"/>
    </row>
    <row r="310" ht="15.75" customHeight="1">
      <c r="A310" s="93"/>
      <c r="B310" s="72"/>
      <c r="C310" s="72"/>
      <c r="D310" s="72"/>
      <c r="E310" s="72"/>
      <c r="F310" s="72"/>
      <c r="G310" s="72"/>
      <c r="H310" s="72"/>
    </row>
    <row r="311" ht="15.75" customHeight="1">
      <c r="A311" s="93"/>
      <c r="B311" s="72"/>
      <c r="C311" s="72"/>
      <c r="D311" s="72"/>
      <c r="E311" s="72"/>
      <c r="F311" s="72"/>
      <c r="G311" s="72"/>
      <c r="H311" s="72"/>
    </row>
    <row r="312" ht="15.75" customHeight="1">
      <c r="A312" s="93"/>
      <c r="B312" s="72"/>
      <c r="C312" s="72"/>
      <c r="D312" s="72"/>
      <c r="E312" s="72"/>
      <c r="F312" s="72"/>
      <c r="G312" s="72"/>
      <c r="H312" s="72"/>
    </row>
    <row r="313" ht="15.75" customHeight="1">
      <c r="A313" s="93"/>
      <c r="B313" s="72"/>
      <c r="C313" s="72"/>
      <c r="D313" s="72"/>
      <c r="E313" s="72"/>
      <c r="F313" s="72"/>
      <c r="G313" s="72"/>
      <c r="H313" s="72"/>
    </row>
    <row r="314" ht="15.75" customHeight="1">
      <c r="A314" s="93"/>
      <c r="B314" s="72"/>
      <c r="C314" s="72"/>
      <c r="D314" s="72"/>
      <c r="E314" s="72"/>
      <c r="F314" s="72"/>
      <c r="G314" s="72"/>
      <c r="H314" s="72"/>
    </row>
    <row r="315" ht="15.75" customHeight="1">
      <c r="A315" s="93"/>
      <c r="B315" s="72"/>
      <c r="C315" s="72"/>
      <c r="D315" s="72"/>
      <c r="E315" s="72"/>
      <c r="F315" s="72"/>
      <c r="G315" s="72"/>
      <c r="H315" s="72"/>
    </row>
    <row r="316" ht="15.75" customHeight="1">
      <c r="A316" s="93"/>
      <c r="B316" s="72"/>
      <c r="C316" s="72"/>
      <c r="D316" s="72"/>
      <c r="E316" s="72"/>
      <c r="F316" s="72"/>
      <c r="G316" s="72"/>
      <c r="H316" s="72"/>
    </row>
    <row r="317" ht="15.75" customHeight="1">
      <c r="A317" s="93"/>
      <c r="B317" s="72"/>
      <c r="C317" s="72"/>
      <c r="D317" s="72"/>
      <c r="E317" s="72"/>
      <c r="F317" s="72"/>
      <c r="G317" s="72"/>
      <c r="H317" s="72"/>
    </row>
    <row r="318" ht="15.75" customHeight="1">
      <c r="A318" s="93"/>
      <c r="B318" s="72"/>
      <c r="C318" s="72"/>
      <c r="D318" s="72"/>
      <c r="E318" s="72"/>
      <c r="F318" s="72"/>
      <c r="G318" s="72"/>
      <c r="H318" s="72"/>
    </row>
    <row r="319" ht="15.75" customHeight="1">
      <c r="A319" s="93"/>
      <c r="B319" s="72"/>
      <c r="C319" s="72"/>
      <c r="D319" s="72"/>
      <c r="E319" s="72"/>
      <c r="F319" s="72"/>
      <c r="G319" s="72"/>
      <c r="H319" s="72"/>
    </row>
    <row r="320" ht="15.75" customHeight="1">
      <c r="A320" s="93"/>
      <c r="B320" s="72"/>
      <c r="C320" s="72"/>
      <c r="D320" s="72"/>
      <c r="E320" s="72"/>
      <c r="F320" s="72"/>
      <c r="G320" s="72"/>
      <c r="H320" s="72"/>
    </row>
    <row r="321" ht="15.75" customHeight="1">
      <c r="A321" s="93"/>
      <c r="B321" s="72"/>
      <c r="C321" s="72"/>
      <c r="D321" s="72"/>
      <c r="E321" s="72"/>
      <c r="F321" s="72"/>
      <c r="G321" s="72"/>
      <c r="H321" s="72"/>
    </row>
    <row r="322" ht="15.75" customHeight="1">
      <c r="A322" s="93"/>
      <c r="B322" s="72"/>
      <c r="C322" s="72"/>
      <c r="D322" s="72"/>
      <c r="E322" s="72"/>
      <c r="F322" s="72"/>
      <c r="G322" s="72"/>
      <c r="H322" s="72"/>
    </row>
    <row r="323" ht="15.75" customHeight="1">
      <c r="A323" s="93"/>
      <c r="B323" s="72"/>
      <c r="C323" s="72"/>
      <c r="D323" s="72"/>
      <c r="E323" s="72"/>
      <c r="F323" s="72"/>
      <c r="G323" s="72"/>
      <c r="H323" s="72"/>
    </row>
    <row r="324" ht="15.75" customHeight="1">
      <c r="A324" s="93"/>
      <c r="B324" s="72"/>
      <c r="C324" s="72"/>
      <c r="D324" s="72"/>
      <c r="E324" s="72"/>
      <c r="F324" s="72"/>
      <c r="G324" s="72"/>
      <c r="H324" s="72"/>
    </row>
    <row r="325" ht="15.75" customHeight="1">
      <c r="A325" s="93"/>
      <c r="B325" s="72"/>
      <c r="C325" s="72"/>
      <c r="D325" s="72"/>
      <c r="E325" s="72"/>
      <c r="F325" s="72"/>
      <c r="G325" s="72"/>
      <c r="H325" s="72"/>
    </row>
    <row r="326" ht="15.75" customHeight="1">
      <c r="A326" s="93"/>
      <c r="B326" s="72"/>
      <c r="C326" s="72"/>
      <c r="D326" s="72"/>
      <c r="E326" s="72"/>
      <c r="F326" s="72"/>
      <c r="G326" s="72"/>
      <c r="H326" s="72"/>
    </row>
    <row r="327" ht="15.75" customHeight="1">
      <c r="A327" s="93"/>
      <c r="B327" s="72"/>
      <c r="C327" s="72"/>
      <c r="D327" s="72"/>
      <c r="E327" s="72"/>
      <c r="F327" s="72"/>
      <c r="G327" s="72"/>
      <c r="H327" s="72"/>
    </row>
    <row r="328" ht="15.75" customHeight="1">
      <c r="A328" s="93"/>
      <c r="B328" s="72"/>
      <c r="C328" s="72"/>
      <c r="D328" s="72"/>
      <c r="E328" s="72"/>
      <c r="F328" s="72"/>
      <c r="G328" s="72"/>
      <c r="H328" s="72"/>
    </row>
    <row r="329" ht="15.75" customHeight="1">
      <c r="A329" s="93"/>
      <c r="B329" s="72"/>
      <c r="C329" s="72"/>
      <c r="D329" s="72"/>
      <c r="E329" s="72"/>
      <c r="F329" s="72"/>
      <c r="G329" s="72"/>
      <c r="H329" s="72"/>
    </row>
    <row r="330" ht="15.75" customHeight="1">
      <c r="A330" s="93"/>
      <c r="B330" s="72"/>
      <c r="C330" s="72"/>
      <c r="D330" s="72"/>
      <c r="E330" s="72"/>
      <c r="F330" s="72"/>
      <c r="G330" s="72"/>
      <c r="H330" s="72"/>
    </row>
    <row r="331" ht="15.75" customHeight="1">
      <c r="A331" s="93"/>
      <c r="B331" s="72"/>
      <c r="C331" s="72"/>
      <c r="D331" s="72"/>
      <c r="E331" s="72"/>
      <c r="F331" s="72"/>
      <c r="G331" s="72"/>
      <c r="H331" s="72"/>
    </row>
    <row r="332" ht="15.75" customHeight="1">
      <c r="A332" s="93"/>
      <c r="B332" s="72"/>
      <c r="C332" s="72"/>
      <c r="D332" s="72"/>
      <c r="E332" s="72"/>
      <c r="F332" s="72"/>
      <c r="G332" s="72"/>
      <c r="H332" s="72"/>
    </row>
    <row r="333" ht="15.75" customHeight="1">
      <c r="A333" s="93"/>
      <c r="B333" s="72"/>
      <c r="C333" s="72"/>
      <c r="D333" s="72"/>
      <c r="E333" s="72"/>
      <c r="F333" s="72"/>
      <c r="G333" s="72"/>
      <c r="H333" s="72"/>
    </row>
    <row r="334" ht="15.75" customHeight="1">
      <c r="A334" s="93"/>
      <c r="B334" s="72"/>
      <c r="C334" s="72"/>
      <c r="D334" s="72"/>
      <c r="E334" s="72"/>
      <c r="F334" s="72"/>
      <c r="G334" s="72"/>
      <c r="H334" s="72"/>
    </row>
    <row r="335" ht="15.75" customHeight="1">
      <c r="A335" s="93"/>
      <c r="B335" s="72"/>
      <c r="C335" s="72"/>
      <c r="D335" s="72"/>
      <c r="E335" s="72"/>
      <c r="F335" s="72"/>
      <c r="G335" s="72"/>
      <c r="H335" s="72"/>
    </row>
    <row r="336" ht="15.75" customHeight="1">
      <c r="A336" s="93"/>
      <c r="B336" s="72"/>
      <c r="C336" s="72"/>
      <c r="D336" s="72"/>
      <c r="E336" s="72"/>
      <c r="F336" s="72"/>
      <c r="G336" s="72"/>
      <c r="H336" s="72"/>
    </row>
    <row r="337" ht="15.75" customHeight="1">
      <c r="A337" s="93"/>
      <c r="B337" s="72"/>
      <c r="C337" s="72"/>
      <c r="D337" s="72"/>
      <c r="E337" s="72"/>
      <c r="F337" s="72"/>
      <c r="G337" s="72"/>
      <c r="H337" s="72"/>
    </row>
    <row r="338" ht="15.75" customHeight="1">
      <c r="A338" s="93"/>
      <c r="B338" s="72"/>
      <c r="C338" s="72"/>
      <c r="D338" s="72"/>
      <c r="E338" s="72"/>
      <c r="F338" s="72"/>
      <c r="G338" s="72"/>
      <c r="H338" s="72"/>
    </row>
    <row r="339" ht="15.75" customHeight="1">
      <c r="A339" s="93"/>
      <c r="B339" s="72"/>
      <c r="C339" s="72"/>
      <c r="D339" s="72"/>
      <c r="E339" s="72"/>
      <c r="F339" s="72"/>
      <c r="G339" s="72"/>
      <c r="H339" s="72"/>
    </row>
    <row r="340" ht="15.75" customHeight="1">
      <c r="A340" s="93"/>
      <c r="B340" s="72"/>
      <c r="C340" s="72"/>
      <c r="D340" s="72"/>
      <c r="E340" s="72"/>
      <c r="F340" s="72"/>
      <c r="G340" s="72"/>
      <c r="H340" s="72"/>
    </row>
    <row r="341" ht="15.75" customHeight="1">
      <c r="A341" s="93"/>
      <c r="B341" s="72"/>
      <c r="C341" s="72"/>
      <c r="D341" s="72"/>
      <c r="E341" s="72"/>
      <c r="F341" s="72"/>
      <c r="G341" s="72"/>
      <c r="H341" s="72"/>
    </row>
    <row r="342" ht="15.75" customHeight="1">
      <c r="A342" s="93"/>
      <c r="B342" s="72"/>
      <c r="C342" s="72"/>
      <c r="D342" s="72"/>
      <c r="E342" s="72"/>
      <c r="F342" s="72"/>
      <c r="G342" s="72"/>
      <c r="H342" s="72"/>
    </row>
    <row r="343" ht="15.75" customHeight="1">
      <c r="A343" s="93"/>
      <c r="B343" s="72"/>
      <c r="C343" s="72"/>
      <c r="D343" s="72"/>
      <c r="E343" s="72"/>
      <c r="F343" s="72"/>
      <c r="G343" s="72"/>
      <c r="H343" s="72"/>
    </row>
    <row r="344" ht="15.75" customHeight="1">
      <c r="A344" s="93"/>
      <c r="B344" s="72"/>
      <c r="C344" s="72"/>
      <c r="D344" s="72"/>
      <c r="E344" s="72"/>
      <c r="F344" s="72"/>
      <c r="G344" s="72"/>
      <c r="H344" s="72"/>
    </row>
    <row r="345" ht="15.75" customHeight="1">
      <c r="A345" s="93"/>
      <c r="B345" s="72"/>
      <c r="C345" s="72"/>
      <c r="D345" s="72"/>
      <c r="E345" s="72"/>
      <c r="F345" s="72"/>
      <c r="G345" s="72"/>
      <c r="H345" s="72"/>
    </row>
    <row r="346" ht="15.75" customHeight="1">
      <c r="A346" s="93"/>
      <c r="B346" s="72"/>
      <c r="C346" s="72"/>
      <c r="D346" s="72"/>
      <c r="E346" s="72"/>
      <c r="F346" s="72"/>
      <c r="G346" s="72"/>
      <c r="H346" s="72"/>
    </row>
    <row r="347" ht="15.75" customHeight="1">
      <c r="A347" s="93"/>
      <c r="B347" s="72"/>
      <c r="C347" s="72"/>
      <c r="D347" s="72"/>
      <c r="E347" s="72"/>
      <c r="F347" s="72"/>
      <c r="G347" s="72"/>
      <c r="H347" s="72"/>
    </row>
    <row r="348" ht="15.75" customHeight="1">
      <c r="A348" s="93"/>
      <c r="B348" s="72"/>
      <c r="C348" s="72"/>
      <c r="D348" s="72"/>
      <c r="E348" s="72"/>
      <c r="F348" s="72"/>
      <c r="G348" s="72"/>
      <c r="H348" s="72"/>
    </row>
    <row r="349" ht="15.75" customHeight="1">
      <c r="A349" s="93"/>
      <c r="B349" s="72"/>
      <c r="C349" s="72"/>
      <c r="D349" s="72"/>
      <c r="E349" s="72"/>
      <c r="F349" s="72"/>
      <c r="G349" s="72"/>
      <c r="H349" s="72"/>
    </row>
    <row r="350" ht="15.75" customHeight="1">
      <c r="A350" s="93"/>
      <c r="B350" s="72"/>
      <c r="C350" s="72"/>
      <c r="D350" s="72"/>
      <c r="E350" s="72"/>
      <c r="F350" s="72"/>
      <c r="G350" s="72"/>
      <c r="H350" s="72"/>
    </row>
    <row r="351" ht="15.75" customHeight="1">
      <c r="A351" s="93"/>
      <c r="B351" s="72"/>
      <c r="C351" s="72"/>
      <c r="D351" s="72"/>
      <c r="E351" s="72"/>
      <c r="F351" s="72"/>
      <c r="G351" s="72"/>
      <c r="H351" s="72"/>
    </row>
    <row r="352" ht="15.75" customHeight="1">
      <c r="A352" s="93"/>
      <c r="B352" s="72"/>
      <c r="C352" s="72"/>
      <c r="D352" s="72"/>
      <c r="E352" s="72"/>
      <c r="F352" s="72"/>
      <c r="G352" s="72"/>
      <c r="H352" s="72"/>
    </row>
    <row r="353" ht="15.75" customHeight="1">
      <c r="A353" s="93"/>
      <c r="B353" s="72"/>
      <c r="C353" s="72"/>
      <c r="D353" s="72"/>
      <c r="E353" s="72"/>
      <c r="F353" s="72"/>
      <c r="G353" s="72"/>
      <c r="H353" s="72"/>
    </row>
    <row r="354" ht="15.75" customHeight="1">
      <c r="A354" s="93"/>
      <c r="B354" s="72"/>
      <c r="C354" s="72"/>
      <c r="D354" s="72"/>
      <c r="E354" s="72"/>
      <c r="F354" s="72"/>
      <c r="G354" s="72"/>
      <c r="H354" s="72"/>
    </row>
    <row r="355" ht="15.75" customHeight="1">
      <c r="A355" s="93"/>
      <c r="B355" s="72"/>
      <c r="C355" s="72"/>
      <c r="D355" s="72"/>
      <c r="E355" s="72"/>
      <c r="F355" s="72"/>
      <c r="G355" s="72"/>
      <c r="H355" s="72"/>
    </row>
    <row r="356" ht="15.75" customHeight="1">
      <c r="A356" s="93"/>
      <c r="B356" s="72"/>
      <c r="C356" s="72"/>
      <c r="D356" s="72"/>
      <c r="E356" s="72"/>
      <c r="F356" s="72"/>
      <c r="G356" s="72"/>
      <c r="H356" s="72"/>
    </row>
    <row r="357" ht="15.75" customHeight="1">
      <c r="A357" s="93"/>
      <c r="B357" s="72"/>
      <c r="C357" s="72"/>
      <c r="D357" s="72"/>
      <c r="E357" s="72"/>
      <c r="F357" s="72"/>
      <c r="G357" s="72"/>
      <c r="H357" s="72"/>
    </row>
    <row r="358" ht="15.75" customHeight="1">
      <c r="A358" s="93"/>
      <c r="B358" s="72"/>
      <c r="C358" s="72"/>
      <c r="D358" s="72"/>
      <c r="E358" s="72"/>
      <c r="F358" s="72"/>
      <c r="G358" s="72"/>
      <c r="H358" s="72"/>
    </row>
    <row r="359" ht="15.75" customHeight="1">
      <c r="A359" s="93"/>
      <c r="B359" s="72"/>
      <c r="C359" s="72"/>
      <c r="D359" s="72"/>
      <c r="E359" s="72"/>
      <c r="F359" s="72"/>
      <c r="G359" s="72"/>
      <c r="H359" s="72"/>
    </row>
    <row r="360" ht="15.75" customHeight="1">
      <c r="A360" s="93"/>
      <c r="B360" s="72"/>
      <c r="C360" s="72"/>
      <c r="D360" s="72"/>
      <c r="E360" s="72"/>
      <c r="F360" s="72"/>
      <c r="G360" s="72"/>
      <c r="H360" s="72"/>
    </row>
    <row r="361" ht="15.75" customHeight="1">
      <c r="A361" s="93"/>
      <c r="B361" s="72"/>
      <c r="C361" s="72"/>
      <c r="D361" s="72"/>
      <c r="E361" s="72"/>
      <c r="F361" s="72"/>
      <c r="G361" s="72"/>
      <c r="H361" s="72"/>
    </row>
    <row r="362" ht="15.75" customHeight="1">
      <c r="A362" s="93"/>
      <c r="B362" s="72"/>
      <c r="C362" s="72"/>
      <c r="D362" s="72"/>
      <c r="E362" s="72"/>
      <c r="F362" s="72"/>
      <c r="G362" s="72"/>
      <c r="H362" s="72"/>
    </row>
    <row r="363" ht="15.75" customHeight="1">
      <c r="A363" s="93"/>
      <c r="B363" s="72"/>
      <c r="C363" s="72"/>
      <c r="D363" s="72"/>
      <c r="E363" s="72"/>
      <c r="F363" s="72"/>
      <c r="G363" s="72"/>
      <c r="H363" s="72"/>
    </row>
    <row r="364" ht="15.75" customHeight="1">
      <c r="A364" s="93"/>
      <c r="B364" s="72"/>
      <c r="C364" s="72"/>
      <c r="D364" s="72"/>
      <c r="E364" s="72"/>
      <c r="F364" s="72"/>
      <c r="G364" s="72"/>
      <c r="H364" s="72"/>
    </row>
    <row r="365" ht="15.75" customHeight="1">
      <c r="A365" s="93"/>
      <c r="B365" s="72"/>
      <c r="C365" s="72"/>
      <c r="D365" s="72"/>
      <c r="E365" s="72"/>
      <c r="F365" s="72"/>
      <c r="G365" s="72"/>
      <c r="H365" s="72"/>
    </row>
    <row r="366" ht="15.75" customHeight="1">
      <c r="A366" s="93"/>
      <c r="B366" s="72"/>
      <c r="C366" s="72"/>
      <c r="D366" s="72"/>
      <c r="E366" s="72"/>
      <c r="F366" s="72"/>
      <c r="G366" s="72"/>
      <c r="H366" s="72"/>
    </row>
    <row r="367" ht="15.75" customHeight="1">
      <c r="A367" s="93"/>
      <c r="B367" s="72"/>
      <c r="C367" s="72"/>
      <c r="D367" s="72"/>
      <c r="E367" s="72"/>
      <c r="F367" s="72"/>
      <c r="G367" s="72"/>
      <c r="H367" s="72"/>
    </row>
    <row r="368" ht="15.75" customHeight="1">
      <c r="A368" s="93"/>
      <c r="B368" s="72"/>
      <c r="C368" s="72"/>
      <c r="D368" s="72"/>
      <c r="E368" s="72"/>
      <c r="F368" s="72"/>
      <c r="G368" s="72"/>
      <c r="H368" s="72"/>
    </row>
    <row r="369" ht="15.75" customHeight="1">
      <c r="A369" s="93"/>
      <c r="B369" s="72"/>
      <c r="C369" s="72"/>
      <c r="D369" s="72"/>
      <c r="E369" s="72"/>
      <c r="F369" s="72"/>
      <c r="G369" s="72"/>
      <c r="H369" s="72"/>
    </row>
    <row r="370" ht="15.75" customHeight="1">
      <c r="A370" s="93"/>
      <c r="B370" s="72"/>
      <c r="C370" s="72"/>
      <c r="D370" s="72"/>
      <c r="E370" s="72"/>
      <c r="F370" s="72"/>
      <c r="G370" s="72"/>
      <c r="H370" s="72"/>
    </row>
    <row r="371" ht="15.75" customHeight="1">
      <c r="A371" s="93"/>
      <c r="B371" s="72"/>
      <c r="C371" s="72"/>
      <c r="D371" s="72"/>
      <c r="E371" s="72"/>
      <c r="F371" s="72"/>
      <c r="G371" s="72"/>
      <c r="H371" s="72"/>
    </row>
    <row r="372" ht="15.75" customHeight="1">
      <c r="A372" s="93"/>
      <c r="B372" s="72"/>
      <c r="C372" s="72"/>
      <c r="D372" s="72"/>
      <c r="E372" s="72"/>
      <c r="F372" s="72"/>
      <c r="G372" s="72"/>
      <c r="H372" s="72"/>
    </row>
    <row r="373" ht="15.75" customHeight="1">
      <c r="A373" s="93"/>
      <c r="B373" s="72"/>
      <c r="C373" s="72"/>
      <c r="D373" s="72"/>
      <c r="E373" s="72"/>
      <c r="F373" s="72"/>
      <c r="G373" s="72"/>
      <c r="H373" s="72"/>
    </row>
    <row r="374" ht="15.75" customHeight="1">
      <c r="A374" s="93"/>
      <c r="B374" s="72"/>
      <c r="C374" s="72"/>
      <c r="D374" s="72"/>
      <c r="E374" s="72"/>
      <c r="F374" s="72"/>
      <c r="G374" s="72"/>
      <c r="H374" s="72"/>
    </row>
    <row r="375" ht="15.75" customHeight="1">
      <c r="A375" s="93"/>
      <c r="B375" s="72"/>
      <c r="C375" s="72"/>
      <c r="D375" s="72"/>
      <c r="E375" s="72"/>
      <c r="F375" s="72"/>
      <c r="G375" s="72"/>
      <c r="H375" s="72"/>
    </row>
    <row r="376" ht="15.75" customHeight="1">
      <c r="A376" s="93"/>
      <c r="B376" s="72"/>
      <c r="C376" s="72"/>
      <c r="D376" s="72"/>
      <c r="E376" s="72"/>
      <c r="F376" s="72"/>
      <c r="G376" s="72"/>
      <c r="H376" s="72"/>
    </row>
    <row r="377" ht="15.75" customHeight="1">
      <c r="A377" s="93"/>
      <c r="B377" s="72"/>
      <c r="C377" s="72"/>
      <c r="D377" s="72"/>
      <c r="E377" s="72"/>
      <c r="F377" s="72"/>
      <c r="G377" s="72"/>
      <c r="H377" s="72"/>
    </row>
    <row r="378" ht="15.75" customHeight="1">
      <c r="A378" s="93"/>
      <c r="B378" s="72"/>
      <c r="C378" s="72"/>
      <c r="D378" s="72"/>
      <c r="E378" s="72"/>
      <c r="F378" s="72"/>
      <c r="G378" s="72"/>
      <c r="H378" s="72"/>
    </row>
    <row r="379" ht="15.75" customHeight="1">
      <c r="A379" s="93"/>
      <c r="B379" s="72"/>
      <c r="C379" s="72"/>
      <c r="D379" s="72"/>
      <c r="E379" s="72"/>
      <c r="F379" s="72"/>
      <c r="G379" s="72"/>
      <c r="H379" s="72"/>
    </row>
    <row r="380" ht="15.75" customHeight="1">
      <c r="A380" s="93"/>
      <c r="B380" s="72"/>
      <c r="C380" s="72"/>
      <c r="D380" s="72"/>
      <c r="E380" s="72"/>
      <c r="F380" s="72"/>
      <c r="G380" s="72"/>
      <c r="H380" s="72"/>
    </row>
    <row r="381" ht="15.75" customHeight="1">
      <c r="A381" s="93"/>
      <c r="B381" s="72"/>
      <c r="C381" s="72"/>
      <c r="D381" s="72"/>
      <c r="E381" s="72"/>
      <c r="F381" s="72"/>
      <c r="G381" s="72"/>
      <c r="H381" s="72"/>
    </row>
    <row r="382" ht="15.75" customHeight="1">
      <c r="A382" s="93"/>
      <c r="B382" s="72"/>
      <c r="C382" s="72"/>
      <c r="D382" s="72"/>
      <c r="E382" s="72"/>
      <c r="F382" s="72"/>
      <c r="G382" s="72"/>
      <c r="H382" s="72"/>
    </row>
    <row r="383" ht="15.75" customHeight="1">
      <c r="A383" s="93"/>
      <c r="B383" s="72"/>
      <c r="C383" s="72"/>
      <c r="D383" s="72"/>
      <c r="E383" s="72"/>
      <c r="F383" s="72"/>
      <c r="G383" s="72"/>
      <c r="H383" s="72"/>
    </row>
    <row r="384" ht="15.75" customHeight="1">
      <c r="A384" s="93"/>
      <c r="B384" s="72"/>
      <c r="C384" s="72"/>
      <c r="D384" s="72"/>
      <c r="E384" s="72"/>
      <c r="F384" s="72"/>
      <c r="G384" s="72"/>
      <c r="H384" s="72"/>
    </row>
    <row r="385" ht="15.75" customHeight="1">
      <c r="A385" s="93"/>
      <c r="B385" s="72"/>
      <c r="C385" s="72"/>
      <c r="D385" s="72"/>
      <c r="E385" s="72"/>
      <c r="F385" s="72"/>
      <c r="G385" s="72"/>
      <c r="H385" s="72"/>
    </row>
    <row r="386" ht="15.75" customHeight="1">
      <c r="A386" s="93"/>
      <c r="B386" s="72"/>
      <c r="C386" s="72"/>
      <c r="D386" s="72"/>
      <c r="E386" s="72"/>
      <c r="F386" s="72"/>
      <c r="G386" s="72"/>
      <c r="H386" s="72"/>
    </row>
    <row r="387" ht="15.75" customHeight="1">
      <c r="A387" s="93"/>
      <c r="B387" s="72"/>
      <c r="C387" s="72"/>
      <c r="D387" s="72"/>
      <c r="E387" s="72"/>
      <c r="F387" s="72"/>
      <c r="G387" s="72"/>
      <c r="H387" s="72"/>
    </row>
    <row r="388" ht="15.75" customHeight="1">
      <c r="A388" s="93"/>
      <c r="B388" s="72"/>
      <c r="C388" s="72"/>
      <c r="D388" s="72"/>
      <c r="E388" s="72"/>
      <c r="F388" s="72"/>
      <c r="G388" s="72"/>
      <c r="H388" s="72"/>
    </row>
    <row r="389" ht="15.75" customHeight="1">
      <c r="A389" s="93"/>
      <c r="B389" s="72"/>
      <c r="C389" s="72"/>
      <c r="D389" s="72"/>
      <c r="E389" s="72"/>
      <c r="F389" s="72"/>
      <c r="G389" s="72"/>
      <c r="H389" s="72"/>
    </row>
    <row r="390" ht="15.75" customHeight="1">
      <c r="A390" s="93"/>
      <c r="B390" s="72"/>
      <c r="C390" s="72"/>
      <c r="D390" s="72"/>
      <c r="E390" s="72"/>
      <c r="F390" s="72"/>
      <c r="G390" s="72"/>
      <c r="H390" s="72"/>
    </row>
    <row r="391" ht="15.75" customHeight="1">
      <c r="A391" s="93"/>
      <c r="B391" s="72"/>
      <c r="C391" s="72"/>
      <c r="D391" s="72"/>
      <c r="E391" s="72"/>
      <c r="F391" s="72"/>
      <c r="G391" s="72"/>
      <c r="H391" s="72"/>
    </row>
    <row r="392" ht="15.75" customHeight="1">
      <c r="A392" s="93"/>
      <c r="B392" s="72"/>
      <c r="C392" s="72"/>
      <c r="D392" s="72"/>
      <c r="E392" s="72"/>
      <c r="F392" s="72"/>
      <c r="G392" s="72"/>
      <c r="H392" s="72"/>
    </row>
    <row r="393" ht="15.75" customHeight="1">
      <c r="A393" s="93"/>
      <c r="B393" s="72"/>
      <c r="C393" s="72"/>
      <c r="D393" s="72"/>
      <c r="E393" s="72"/>
      <c r="F393" s="72"/>
      <c r="G393" s="72"/>
      <c r="H393" s="72"/>
    </row>
    <row r="394" ht="15.75" customHeight="1">
      <c r="A394" s="93"/>
      <c r="B394" s="72"/>
      <c r="C394" s="72"/>
      <c r="D394" s="72"/>
      <c r="E394" s="72"/>
      <c r="F394" s="72"/>
      <c r="G394" s="72"/>
      <c r="H394" s="72"/>
    </row>
    <row r="395" ht="15.75" customHeight="1">
      <c r="A395" s="93"/>
      <c r="B395" s="72"/>
      <c r="C395" s="72"/>
      <c r="D395" s="72"/>
      <c r="E395" s="72"/>
      <c r="F395" s="72"/>
      <c r="G395" s="72"/>
      <c r="H395" s="72"/>
    </row>
    <row r="396" ht="15.75" customHeight="1">
      <c r="A396" s="93"/>
      <c r="B396" s="72"/>
      <c r="C396" s="72"/>
      <c r="D396" s="72"/>
      <c r="E396" s="72"/>
      <c r="F396" s="72"/>
      <c r="G396" s="72"/>
      <c r="H396" s="72"/>
    </row>
    <row r="397" ht="15.75" customHeight="1">
      <c r="A397" s="93"/>
      <c r="B397" s="72"/>
      <c r="C397" s="72"/>
      <c r="D397" s="72"/>
      <c r="E397" s="72"/>
      <c r="F397" s="72"/>
      <c r="G397" s="72"/>
      <c r="H397" s="72"/>
    </row>
    <row r="398" ht="15.75" customHeight="1">
      <c r="A398" s="93"/>
      <c r="B398" s="72"/>
      <c r="C398" s="72"/>
      <c r="D398" s="72"/>
      <c r="E398" s="72"/>
      <c r="F398" s="72"/>
      <c r="G398" s="72"/>
      <c r="H398" s="72"/>
    </row>
    <row r="399" ht="15.75" customHeight="1">
      <c r="A399" s="93"/>
      <c r="B399" s="72"/>
      <c r="C399" s="72"/>
      <c r="D399" s="72"/>
      <c r="E399" s="72"/>
      <c r="F399" s="72"/>
      <c r="G399" s="72"/>
      <c r="H399" s="72"/>
    </row>
    <row r="400" ht="15.75" customHeight="1">
      <c r="A400" s="93"/>
      <c r="B400" s="72"/>
      <c r="C400" s="72"/>
      <c r="D400" s="72"/>
      <c r="E400" s="72"/>
      <c r="F400" s="72"/>
      <c r="G400" s="72"/>
      <c r="H400" s="72"/>
    </row>
    <row r="401" ht="15.75" customHeight="1">
      <c r="A401" s="93"/>
      <c r="B401" s="72"/>
      <c r="C401" s="72"/>
      <c r="D401" s="72"/>
      <c r="E401" s="72"/>
      <c r="F401" s="72"/>
      <c r="G401" s="72"/>
      <c r="H401" s="72"/>
    </row>
    <row r="402" ht="15.75" customHeight="1">
      <c r="A402" s="93"/>
      <c r="B402" s="72"/>
      <c r="C402" s="72"/>
      <c r="D402" s="72"/>
      <c r="E402" s="72"/>
      <c r="F402" s="72"/>
      <c r="G402" s="72"/>
      <c r="H402" s="72"/>
    </row>
    <row r="403" ht="15.75" customHeight="1">
      <c r="A403" s="93"/>
      <c r="B403" s="72"/>
      <c r="C403" s="72"/>
      <c r="D403" s="72"/>
      <c r="E403" s="72"/>
      <c r="F403" s="72"/>
      <c r="G403" s="72"/>
      <c r="H403" s="72"/>
    </row>
    <row r="404" ht="15.75" customHeight="1">
      <c r="A404" s="93"/>
      <c r="B404" s="72"/>
      <c r="C404" s="72"/>
      <c r="D404" s="72"/>
      <c r="E404" s="72"/>
      <c r="F404" s="72"/>
      <c r="G404" s="72"/>
      <c r="H404" s="72"/>
    </row>
    <row r="405" ht="15.75" customHeight="1">
      <c r="A405" s="93"/>
      <c r="B405" s="72"/>
      <c r="C405" s="72"/>
      <c r="D405" s="72"/>
      <c r="E405" s="72"/>
      <c r="F405" s="72"/>
      <c r="G405" s="72"/>
      <c r="H405" s="72"/>
    </row>
    <row r="406" ht="15.75" customHeight="1">
      <c r="A406" s="93"/>
      <c r="B406" s="72"/>
      <c r="C406" s="72"/>
      <c r="D406" s="72"/>
      <c r="E406" s="72"/>
      <c r="F406" s="72"/>
      <c r="G406" s="72"/>
      <c r="H406" s="72"/>
    </row>
    <row r="407" ht="15.75" customHeight="1">
      <c r="A407" s="93"/>
      <c r="B407" s="72"/>
      <c r="C407" s="72"/>
      <c r="D407" s="72"/>
      <c r="E407" s="72"/>
      <c r="F407" s="72"/>
      <c r="G407" s="72"/>
      <c r="H407" s="72"/>
    </row>
    <row r="408" ht="15.75" customHeight="1">
      <c r="A408" s="93"/>
      <c r="B408" s="72"/>
      <c r="C408" s="72"/>
      <c r="D408" s="72"/>
      <c r="E408" s="72"/>
      <c r="F408" s="72"/>
      <c r="G408" s="72"/>
      <c r="H408" s="72"/>
    </row>
    <row r="409" ht="15.75" customHeight="1">
      <c r="A409" s="93"/>
      <c r="B409" s="72"/>
      <c r="C409" s="72"/>
      <c r="D409" s="72"/>
      <c r="E409" s="72"/>
      <c r="F409" s="72"/>
      <c r="G409" s="72"/>
      <c r="H409" s="72"/>
    </row>
    <row r="410" ht="15.75" customHeight="1">
      <c r="A410" s="93"/>
      <c r="B410" s="72"/>
      <c r="C410" s="72"/>
      <c r="D410" s="72"/>
      <c r="E410" s="72"/>
      <c r="F410" s="72"/>
      <c r="G410" s="72"/>
      <c r="H410" s="72"/>
    </row>
    <row r="411" ht="15.75" customHeight="1">
      <c r="A411" s="93"/>
      <c r="B411" s="72"/>
      <c r="C411" s="72"/>
      <c r="D411" s="72"/>
      <c r="E411" s="72"/>
      <c r="F411" s="72"/>
      <c r="G411" s="72"/>
      <c r="H411" s="72"/>
    </row>
    <row r="412" ht="15.75" customHeight="1">
      <c r="A412" s="93"/>
      <c r="B412" s="72"/>
      <c r="C412" s="72"/>
      <c r="D412" s="72"/>
      <c r="E412" s="72"/>
      <c r="F412" s="72"/>
      <c r="G412" s="72"/>
      <c r="H412" s="72"/>
    </row>
    <row r="413" ht="15.75" customHeight="1">
      <c r="A413" s="93"/>
      <c r="B413" s="72"/>
      <c r="C413" s="72"/>
      <c r="D413" s="72"/>
      <c r="E413" s="72"/>
      <c r="F413" s="72"/>
      <c r="G413" s="72"/>
      <c r="H413" s="72"/>
    </row>
    <row r="414" ht="15.75" customHeight="1">
      <c r="A414" s="93"/>
      <c r="B414" s="72"/>
      <c r="C414" s="72"/>
      <c r="D414" s="72"/>
      <c r="E414" s="72"/>
      <c r="F414" s="72"/>
      <c r="G414" s="72"/>
      <c r="H414" s="72"/>
    </row>
    <row r="415" ht="15.75" customHeight="1">
      <c r="A415" s="93"/>
      <c r="B415" s="72"/>
      <c r="C415" s="72"/>
      <c r="D415" s="72"/>
      <c r="E415" s="72"/>
      <c r="F415" s="72"/>
      <c r="G415" s="72"/>
      <c r="H415" s="72"/>
    </row>
    <row r="416" ht="15.75" customHeight="1">
      <c r="A416" s="93"/>
      <c r="B416" s="72"/>
      <c r="C416" s="72"/>
      <c r="D416" s="72"/>
      <c r="E416" s="72"/>
      <c r="F416" s="72"/>
      <c r="G416" s="72"/>
      <c r="H416" s="72"/>
    </row>
    <row r="417" ht="15.75" customHeight="1">
      <c r="A417" s="93"/>
      <c r="B417" s="72"/>
      <c r="C417" s="72"/>
      <c r="D417" s="72"/>
      <c r="E417" s="72"/>
      <c r="F417" s="72"/>
      <c r="G417" s="72"/>
      <c r="H417" s="72"/>
    </row>
    <row r="418" ht="15.75" customHeight="1">
      <c r="A418" s="93"/>
      <c r="B418" s="72"/>
      <c r="C418" s="72"/>
      <c r="D418" s="72"/>
      <c r="E418" s="72"/>
      <c r="F418" s="72"/>
      <c r="G418" s="72"/>
      <c r="H418" s="72"/>
    </row>
    <row r="419" ht="15.75" customHeight="1">
      <c r="A419" s="93"/>
      <c r="B419" s="72"/>
      <c r="C419" s="72"/>
      <c r="D419" s="72"/>
      <c r="E419" s="72"/>
      <c r="F419" s="72"/>
      <c r="G419" s="72"/>
      <c r="H419" s="72"/>
    </row>
    <row r="420" ht="15.75" customHeight="1">
      <c r="A420" s="93"/>
      <c r="B420" s="72"/>
      <c r="C420" s="72"/>
      <c r="D420" s="72"/>
      <c r="E420" s="72"/>
      <c r="F420" s="72"/>
      <c r="G420" s="72"/>
      <c r="H420" s="72"/>
    </row>
    <row r="421" ht="15.75" customHeight="1">
      <c r="A421" s="93"/>
      <c r="B421" s="72"/>
      <c r="C421" s="72"/>
      <c r="D421" s="72"/>
      <c r="E421" s="72"/>
      <c r="F421" s="72"/>
      <c r="G421" s="72"/>
      <c r="H421" s="72"/>
    </row>
    <row r="422" ht="15.75" customHeight="1">
      <c r="A422" s="93"/>
      <c r="B422" s="72"/>
      <c r="C422" s="72"/>
      <c r="D422" s="72"/>
      <c r="E422" s="72"/>
      <c r="F422" s="72"/>
      <c r="G422" s="72"/>
      <c r="H422" s="72"/>
    </row>
    <row r="423" ht="15.75" customHeight="1">
      <c r="A423" s="93"/>
      <c r="B423" s="72"/>
      <c r="C423" s="72"/>
      <c r="D423" s="72"/>
      <c r="E423" s="72"/>
      <c r="F423" s="72"/>
      <c r="G423" s="72"/>
      <c r="H423" s="72"/>
    </row>
    <row r="424" ht="15.75" customHeight="1">
      <c r="A424" s="93"/>
      <c r="B424" s="72"/>
      <c r="C424" s="72"/>
      <c r="D424" s="72"/>
      <c r="E424" s="72"/>
      <c r="F424" s="72"/>
      <c r="G424" s="72"/>
      <c r="H424" s="72"/>
    </row>
    <row r="425" ht="15.75" customHeight="1">
      <c r="A425" s="93"/>
      <c r="B425" s="72"/>
      <c r="C425" s="72"/>
      <c r="D425" s="72"/>
      <c r="E425" s="72"/>
      <c r="F425" s="72"/>
      <c r="G425" s="72"/>
      <c r="H425" s="72"/>
    </row>
    <row r="426" ht="15.75" customHeight="1">
      <c r="A426" s="93"/>
      <c r="B426" s="72"/>
      <c r="C426" s="72"/>
      <c r="D426" s="72"/>
      <c r="E426" s="72"/>
      <c r="F426" s="72"/>
      <c r="G426" s="72"/>
      <c r="H426" s="72"/>
    </row>
    <row r="427" ht="15.75" customHeight="1">
      <c r="A427" s="93"/>
      <c r="B427" s="72"/>
      <c r="C427" s="72"/>
      <c r="D427" s="72"/>
      <c r="E427" s="72"/>
      <c r="F427" s="72"/>
      <c r="G427" s="72"/>
      <c r="H427" s="72"/>
    </row>
    <row r="428" ht="15.75" customHeight="1">
      <c r="A428" s="93"/>
      <c r="B428" s="72"/>
      <c r="C428" s="72"/>
      <c r="D428" s="72"/>
      <c r="E428" s="72"/>
      <c r="F428" s="72"/>
      <c r="G428" s="72"/>
      <c r="H428" s="72"/>
    </row>
    <row r="429" ht="15.75" customHeight="1">
      <c r="A429" s="93"/>
      <c r="B429" s="72"/>
      <c r="C429" s="72"/>
      <c r="D429" s="72"/>
      <c r="E429" s="72"/>
      <c r="F429" s="72"/>
      <c r="G429" s="72"/>
      <c r="H429" s="72"/>
    </row>
    <row r="430" ht="15.75" customHeight="1">
      <c r="A430" s="93"/>
      <c r="B430" s="72"/>
      <c r="C430" s="72"/>
      <c r="D430" s="72"/>
      <c r="E430" s="72"/>
      <c r="F430" s="72"/>
      <c r="G430" s="72"/>
      <c r="H430" s="72"/>
    </row>
    <row r="431" ht="15.75" customHeight="1">
      <c r="A431" s="93"/>
      <c r="B431" s="72"/>
      <c r="C431" s="72"/>
      <c r="D431" s="72"/>
      <c r="E431" s="72"/>
      <c r="F431" s="72"/>
      <c r="G431" s="72"/>
      <c r="H431" s="72"/>
    </row>
    <row r="432" ht="15.75" customHeight="1">
      <c r="A432" s="93"/>
      <c r="B432" s="72"/>
      <c r="C432" s="72"/>
      <c r="D432" s="72"/>
      <c r="E432" s="72"/>
      <c r="F432" s="72"/>
      <c r="G432" s="72"/>
      <c r="H432" s="72"/>
    </row>
    <row r="433" ht="15.75" customHeight="1">
      <c r="A433" s="93"/>
      <c r="B433" s="72"/>
      <c r="C433" s="72"/>
      <c r="D433" s="72"/>
      <c r="E433" s="72"/>
      <c r="F433" s="72"/>
      <c r="G433" s="72"/>
      <c r="H433" s="72"/>
    </row>
    <row r="434" ht="15.75" customHeight="1">
      <c r="A434" s="94"/>
      <c r="B434" s="95"/>
      <c r="C434" s="95"/>
      <c r="D434" s="95"/>
      <c r="E434" s="95"/>
      <c r="F434" s="95"/>
      <c r="G434" s="95"/>
      <c r="H434" s="95"/>
    </row>
    <row r="435" ht="15.75" customHeight="1">
      <c r="A435" s="96"/>
      <c r="B435" s="83"/>
      <c r="C435" s="83"/>
      <c r="D435" s="83"/>
      <c r="E435" s="83"/>
      <c r="F435" s="83"/>
      <c r="G435" s="83"/>
      <c r="H435" s="83"/>
    </row>
    <row r="436" ht="15.75" customHeight="1">
      <c r="A436" s="94"/>
      <c r="B436" s="87"/>
      <c r="C436" s="87"/>
      <c r="D436" s="87"/>
      <c r="E436" s="87"/>
      <c r="F436" s="87"/>
      <c r="G436" s="87"/>
      <c r="H436" s="87"/>
    </row>
    <row r="437" ht="15.75" customHeight="1">
      <c r="A437" s="96"/>
      <c r="B437" s="83"/>
      <c r="C437" s="83"/>
      <c r="D437" s="83"/>
      <c r="E437" s="83"/>
      <c r="F437" s="83"/>
      <c r="G437" s="83"/>
      <c r="H437" s="83"/>
    </row>
    <row r="438" ht="15.75" customHeight="1">
      <c r="A438" s="94"/>
      <c r="B438" s="87"/>
      <c r="C438" s="87"/>
      <c r="D438" s="87"/>
      <c r="E438" s="87"/>
      <c r="F438" s="87"/>
      <c r="G438" s="87"/>
      <c r="H438" s="87"/>
    </row>
    <row r="439" ht="15.75" customHeight="1">
      <c r="A439" s="96"/>
      <c r="B439" s="83"/>
      <c r="C439" s="83"/>
      <c r="D439" s="83"/>
      <c r="E439" s="83"/>
      <c r="F439" s="83"/>
      <c r="G439" s="83"/>
      <c r="H439" s="83"/>
    </row>
    <row r="440" ht="15.75" customHeight="1">
      <c r="A440" s="94"/>
      <c r="B440" s="87"/>
      <c r="C440" s="87"/>
      <c r="D440" s="87"/>
      <c r="E440" s="87"/>
      <c r="F440" s="87"/>
      <c r="G440" s="87"/>
      <c r="H440" s="87"/>
    </row>
    <row r="441" ht="15.75" customHeight="1">
      <c r="A441" s="96"/>
      <c r="B441" s="83"/>
      <c r="C441" s="83"/>
      <c r="D441" s="83"/>
      <c r="E441" s="83"/>
      <c r="F441" s="83"/>
      <c r="G441" s="83"/>
      <c r="H441" s="83"/>
    </row>
    <row r="442" ht="15.75" customHeight="1">
      <c r="A442" s="94"/>
      <c r="B442" s="87"/>
      <c r="C442" s="87"/>
      <c r="D442" s="87"/>
      <c r="E442" s="87"/>
      <c r="F442" s="87"/>
      <c r="G442" s="87"/>
      <c r="H442" s="87"/>
    </row>
    <row r="443" ht="15.75" customHeight="1">
      <c r="A443" s="96"/>
      <c r="B443" s="83"/>
      <c r="C443" s="83"/>
      <c r="D443" s="83"/>
      <c r="E443" s="83"/>
      <c r="F443" s="83"/>
      <c r="G443" s="83"/>
      <c r="H443" s="83"/>
    </row>
    <row r="444" ht="15.75" customHeight="1">
      <c r="A444" s="94"/>
      <c r="B444" s="87"/>
      <c r="C444" s="87"/>
      <c r="D444" s="87"/>
      <c r="E444" s="87"/>
      <c r="F444" s="87"/>
      <c r="G444" s="87"/>
      <c r="H444" s="87"/>
    </row>
    <row r="445" ht="15.75" customHeight="1">
      <c r="A445" s="96"/>
      <c r="B445" s="83"/>
      <c r="C445" s="83"/>
      <c r="D445" s="83"/>
      <c r="E445" s="83"/>
      <c r="F445" s="83"/>
      <c r="G445" s="83"/>
      <c r="H445" s="83"/>
    </row>
    <row r="446" ht="15.75" customHeight="1">
      <c r="A446" s="94"/>
      <c r="B446" s="87"/>
      <c r="C446" s="87"/>
      <c r="D446" s="87"/>
      <c r="E446" s="87"/>
      <c r="F446" s="87"/>
      <c r="G446" s="87"/>
      <c r="H446" s="87"/>
    </row>
    <row r="447" ht="15.75" customHeight="1">
      <c r="A447" s="96"/>
      <c r="B447" s="83"/>
      <c r="C447" s="83"/>
      <c r="D447" s="83"/>
      <c r="E447" s="83"/>
      <c r="F447" s="83"/>
      <c r="G447" s="83"/>
      <c r="H447" s="83"/>
    </row>
    <row r="448" ht="15.75" customHeight="1">
      <c r="A448" s="94"/>
      <c r="B448" s="87"/>
      <c r="C448" s="87"/>
      <c r="D448" s="87"/>
      <c r="E448" s="87"/>
      <c r="F448" s="87"/>
      <c r="G448" s="87"/>
      <c r="H448" s="87"/>
    </row>
    <row r="449" ht="15.75" customHeight="1">
      <c r="A449" s="96"/>
      <c r="B449" s="83"/>
      <c r="C449" s="83"/>
      <c r="D449" s="83"/>
      <c r="E449" s="83"/>
      <c r="F449" s="83"/>
      <c r="G449" s="83"/>
      <c r="H449" s="83"/>
    </row>
    <row r="450" ht="15.75" customHeight="1">
      <c r="A450" s="94"/>
      <c r="B450" s="87"/>
      <c r="C450" s="87"/>
      <c r="D450" s="87"/>
      <c r="E450" s="87"/>
      <c r="F450" s="87"/>
      <c r="G450" s="87"/>
      <c r="H450" s="87"/>
    </row>
    <row r="451" ht="15.75" customHeight="1">
      <c r="A451" s="96"/>
      <c r="B451" s="83"/>
      <c r="C451" s="83"/>
      <c r="D451" s="83"/>
      <c r="E451" s="83"/>
      <c r="F451" s="83"/>
      <c r="G451" s="83"/>
      <c r="H451" s="83"/>
    </row>
    <row r="452" ht="15.75" customHeight="1">
      <c r="A452" s="94"/>
      <c r="B452" s="87"/>
      <c r="C452" s="87"/>
      <c r="D452" s="87"/>
      <c r="E452" s="87"/>
      <c r="F452" s="87"/>
      <c r="G452" s="87"/>
      <c r="H452" s="87"/>
    </row>
    <row r="453" ht="15.75" customHeight="1">
      <c r="A453" s="96"/>
      <c r="B453" s="83"/>
      <c r="C453" s="83"/>
      <c r="D453" s="83"/>
      <c r="E453" s="83"/>
      <c r="F453" s="83"/>
      <c r="G453" s="83"/>
      <c r="H453" s="83"/>
    </row>
    <row r="454" ht="15.75" customHeight="1">
      <c r="A454" s="94"/>
      <c r="B454" s="87"/>
      <c r="C454" s="87"/>
      <c r="D454" s="87"/>
      <c r="E454" s="87"/>
      <c r="F454" s="87"/>
      <c r="G454" s="87"/>
      <c r="H454" s="87"/>
    </row>
    <row r="455" ht="15.75" customHeight="1">
      <c r="A455" s="96"/>
      <c r="B455" s="83"/>
      <c r="C455" s="83"/>
      <c r="D455" s="83"/>
      <c r="E455" s="83"/>
      <c r="F455" s="83"/>
      <c r="G455" s="83"/>
      <c r="H455" s="83"/>
    </row>
    <row r="456" ht="15.75" customHeight="1">
      <c r="A456" s="94"/>
      <c r="B456" s="87"/>
      <c r="C456" s="87"/>
      <c r="D456" s="87"/>
      <c r="E456" s="87"/>
      <c r="F456" s="87"/>
      <c r="G456" s="87"/>
      <c r="H456" s="87"/>
    </row>
    <row r="457" ht="15.75" customHeight="1">
      <c r="A457" s="96"/>
      <c r="B457" s="83"/>
      <c r="C457" s="83"/>
      <c r="D457" s="83"/>
      <c r="E457" s="83"/>
      <c r="F457" s="83"/>
      <c r="G457" s="83"/>
      <c r="H457" s="83"/>
    </row>
    <row r="458" ht="15.75" customHeight="1">
      <c r="A458" s="94"/>
      <c r="B458" s="87"/>
      <c r="C458" s="87"/>
      <c r="D458" s="87"/>
      <c r="E458" s="87"/>
      <c r="F458" s="87"/>
      <c r="G458" s="87"/>
      <c r="H458" s="87"/>
    </row>
    <row r="459" ht="15.75" customHeight="1">
      <c r="A459" s="96"/>
      <c r="B459" s="83"/>
      <c r="C459" s="83"/>
      <c r="D459" s="83"/>
      <c r="E459" s="83"/>
      <c r="F459" s="83"/>
      <c r="G459" s="83"/>
      <c r="H459" s="83"/>
    </row>
    <row r="460" ht="15.75" customHeight="1">
      <c r="A460" s="94"/>
      <c r="B460" s="87"/>
      <c r="C460" s="87"/>
      <c r="D460" s="87"/>
      <c r="E460" s="87"/>
      <c r="F460" s="87"/>
      <c r="G460" s="87"/>
      <c r="H460" s="87"/>
    </row>
    <row r="461" ht="15.75" customHeight="1">
      <c r="A461" s="96"/>
      <c r="B461" s="83"/>
      <c r="C461" s="83"/>
      <c r="D461" s="83"/>
      <c r="E461" s="83"/>
      <c r="F461" s="83"/>
      <c r="G461" s="83"/>
      <c r="H461" s="83"/>
    </row>
    <row r="462" ht="15.75" customHeight="1">
      <c r="A462" s="94"/>
      <c r="B462" s="87"/>
      <c r="C462" s="87"/>
      <c r="D462" s="87"/>
      <c r="E462" s="87"/>
      <c r="F462" s="87"/>
      <c r="G462" s="87"/>
      <c r="H462" s="87"/>
    </row>
    <row r="463" ht="15.75" customHeight="1">
      <c r="A463" s="96"/>
      <c r="B463" s="83"/>
      <c r="C463" s="83"/>
      <c r="D463" s="83"/>
      <c r="E463" s="83"/>
      <c r="F463" s="83"/>
      <c r="G463" s="83"/>
      <c r="H463" s="83"/>
    </row>
    <row r="464" ht="15.75" customHeight="1">
      <c r="A464" s="94"/>
      <c r="B464" s="87"/>
      <c r="C464" s="87"/>
      <c r="D464" s="87"/>
      <c r="E464" s="87"/>
      <c r="F464" s="87"/>
      <c r="G464" s="87"/>
      <c r="H464" s="87"/>
    </row>
    <row r="465" ht="15.75" customHeight="1">
      <c r="A465" s="96"/>
      <c r="B465" s="83"/>
      <c r="C465" s="83"/>
      <c r="D465" s="83"/>
      <c r="E465" s="83"/>
      <c r="F465" s="83"/>
      <c r="G465" s="83"/>
      <c r="H465" s="83"/>
    </row>
    <row r="466" ht="15.75" customHeight="1">
      <c r="A466" s="94"/>
      <c r="B466" s="87"/>
      <c r="C466" s="87"/>
      <c r="D466" s="87"/>
      <c r="E466" s="87"/>
      <c r="F466" s="87"/>
      <c r="G466" s="87"/>
      <c r="H466" s="87"/>
    </row>
    <row r="467" ht="15.75" customHeight="1">
      <c r="A467" s="96"/>
      <c r="B467" s="83"/>
      <c r="C467" s="83"/>
      <c r="D467" s="83"/>
      <c r="E467" s="83"/>
      <c r="F467" s="83"/>
      <c r="G467" s="83"/>
      <c r="H467" s="83"/>
    </row>
    <row r="468" ht="15.75" customHeight="1">
      <c r="A468" s="94"/>
      <c r="B468" s="87"/>
      <c r="C468" s="87"/>
      <c r="D468" s="87"/>
      <c r="E468" s="87"/>
      <c r="F468" s="87"/>
      <c r="G468" s="87"/>
      <c r="H468" s="87"/>
    </row>
    <row r="469" ht="15.75" customHeight="1">
      <c r="A469" s="96"/>
      <c r="B469" s="83"/>
      <c r="C469" s="83"/>
      <c r="D469" s="83"/>
      <c r="E469" s="83"/>
      <c r="F469" s="83"/>
      <c r="G469" s="83"/>
      <c r="H469" s="83"/>
    </row>
    <row r="470" ht="15.75" customHeight="1">
      <c r="A470" s="94"/>
      <c r="B470" s="87"/>
      <c r="C470" s="87"/>
      <c r="D470" s="87"/>
      <c r="E470" s="87"/>
      <c r="F470" s="87"/>
      <c r="G470" s="87"/>
      <c r="H470" s="87"/>
    </row>
    <row r="471" ht="15.75" customHeight="1">
      <c r="A471" s="96"/>
      <c r="B471" s="83"/>
      <c r="C471" s="83"/>
      <c r="D471" s="83"/>
      <c r="E471" s="83"/>
      <c r="F471" s="83"/>
      <c r="G471" s="83"/>
      <c r="H471" s="83"/>
    </row>
    <row r="472" ht="15.75" customHeight="1">
      <c r="A472" s="94"/>
      <c r="B472" s="87"/>
      <c r="C472" s="87"/>
      <c r="D472" s="87"/>
      <c r="E472" s="87"/>
      <c r="F472" s="87"/>
      <c r="G472" s="87"/>
      <c r="H472" s="87"/>
    </row>
    <row r="473" ht="15.75" customHeight="1">
      <c r="A473" s="96"/>
      <c r="B473" s="83"/>
      <c r="C473" s="83"/>
      <c r="D473" s="83"/>
      <c r="E473" s="83"/>
      <c r="F473" s="83"/>
      <c r="G473" s="83"/>
      <c r="H473" s="83"/>
    </row>
    <row r="474" ht="15.75" customHeight="1">
      <c r="A474" s="94"/>
      <c r="B474" s="87"/>
      <c r="C474" s="87"/>
      <c r="D474" s="87"/>
      <c r="E474" s="87"/>
      <c r="F474" s="87"/>
      <c r="G474" s="87"/>
      <c r="H474" s="87"/>
    </row>
    <row r="475" ht="15.75" customHeight="1">
      <c r="A475" s="96"/>
      <c r="B475" s="83"/>
      <c r="C475" s="83"/>
      <c r="D475" s="83"/>
      <c r="E475" s="83"/>
      <c r="F475" s="83"/>
      <c r="G475" s="83"/>
      <c r="H475" s="83"/>
    </row>
    <row r="476" ht="15.75" customHeight="1">
      <c r="A476" s="94"/>
      <c r="B476" s="87"/>
      <c r="C476" s="87"/>
      <c r="D476" s="87"/>
      <c r="E476" s="87"/>
      <c r="F476" s="87"/>
      <c r="G476" s="87"/>
      <c r="H476" s="87"/>
    </row>
    <row r="477" ht="15.75" customHeight="1">
      <c r="A477" s="96"/>
      <c r="B477" s="83"/>
      <c r="C477" s="83"/>
      <c r="D477" s="83"/>
      <c r="E477" s="83"/>
      <c r="F477" s="83"/>
      <c r="G477" s="83"/>
      <c r="H477" s="83"/>
    </row>
    <row r="478" ht="15.75" customHeight="1">
      <c r="A478" s="94"/>
      <c r="B478" s="87"/>
      <c r="C478" s="87"/>
      <c r="D478" s="87"/>
      <c r="E478" s="87"/>
      <c r="F478" s="87"/>
      <c r="G478" s="87"/>
      <c r="H478" s="87"/>
    </row>
    <row r="479" ht="15.75" customHeight="1">
      <c r="A479" s="96"/>
      <c r="B479" s="83"/>
      <c r="C479" s="83"/>
      <c r="D479" s="83"/>
      <c r="E479" s="83"/>
      <c r="F479" s="83"/>
      <c r="G479" s="83"/>
      <c r="H479" s="83"/>
    </row>
    <row r="480" ht="15.75" customHeight="1">
      <c r="A480" s="94"/>
      <c r="B480" s="87"/>
      <c r="C480" s="87"/>
      <c r="D480" s="87"/>
      <c r="E480" s="87"/>
      <c r="F480" s="87"/>
      <c r="G480" s="87"/>
      <c r="H480" s="87"/>
    </row>
    <row r="481" ht="15.75" customHeight="1">
      <c r="A481" s="96"/>
      <c r="B481" s="83"/>
      <c r="C481" s="83"/>
      <c r="D481" s="83"/>
      <c r="E481" s="83"/>
      <c r="F481" s="83"/>
      <c r="G481" s="83"/>
      <c r="H481" s="83"/>
    </row>
    <row r="482" ht="15.75" customHeight="1">
      <c r="A482" s="94"/>
      <c r="B482" s="87"/>
      <c r="C482" s="87"/>
      <c r="D482" s="87"/>
      <c r="E482" s="87"/>
      <c r="F482" s="87"/>
      <c r="G482" s="87"/>
      <c r="H482" s="87"/>
    </row>
    <row r="483" ht="15.75" customHeight="1">
      <c r="A483" s="96"/>
      <c r="B483" s="83"/>
      <c r="C483" s="83"/>
      <c r="D483" s="83"/>
      <c r="E483" s="83"/>
      <c r="F483" s="83"/>
      <c r="G483" s="83"/>
      <c r="H483" s="83"/>
    </row>
    <row r="484" ht="15.75" customHeight="1">
      <c r="A484" s="94"/>
      <c r="B484" s="87"/>
      <c r="C484" s="87"/>
      <c r="D484" s="87"/>
      <c r="E484" s="87"/>
      <c r="F484" s="87"/>
      <c r="G484" s="87"/>
      <c r="H484" s="87"/>
    </row>
    <row r="485" ht="15.75" customHeight="1">
      <c r="A485" s="96"/>
      <c r="B485" s="83"/>
      <c r="C485" s="83"/>
      <c r="D485" s="83"/>
      <c r="E485" s="83"/>
      <c r="F485" s="83"/>
      <c r="G485" s="83"/>
      <c r="H485" s="83"/>
    </row>
    <row r="486" ht="15.75" customHeight="1">
      <c r="A486" s="94"/>
      <c r="B486" s="87"/>
      <c r="C486" s="87"/>
      <c r="D486" s="87"/>
      <c r="E486" s="87"/>
      <c r="F486" s="87"/>
      <c r="G486" s="87"/>
      <c r="H486" s="87"/>
    </row>
    <row r="487" ht="15.75" customHeight="1">
      <c r="A487" s="96"/>
      <c r="B487" s="83"/>
      <c r="C487" s="83"/>
      <c r="D487" s="83"/>
      <c r="E487" s="83"/>
      <c r="F487" s="83"/>
      <c r="G487" s="83"/>
      <c r="H487" s="83"/>
    </row>
    <row r="488" ht="15.75" customHeight="1">
      <c r="A488" s="94"/>
      <c r="B488" s="87"/>
      <c r="C488" s="87"/>
      <c r="D488" s="87"/>
      <c r="E488" s="87"/>
      <c r="F488" s="87"/>
      <c r="G488" s="87"/>
      <c r="H488" s="87"/>
    </row>
    <row r="489" ht="15.75" customHeight="1">
      <c r="A489" s="96"/>
      <c r="B489" s="83"/>
      <c r="C489" s="83"/>
      <c r="D489" s="83"/>
      <c r="E489" s="83"/>
      <c r="F489" s="83"/>
      <c r="G489" s="83"/>
      <c r="H489" s="83"/>
    </row>
    <row r="490" ht="15.75" customHeight="1">
      <c r="A490" s="94"/>
      <c r="B490" s="87"/>
      <c r="C490" s="87"/>
      <c r="D490" s="87"/>
      <c r="E490" s="87"/>
      <c r="F490" s="87"/>
      <c r="G490" s="87"/>
      <c r="H490" s="87"/>
    </row>
    <row r="491" ht="15.75" customHeight="1">
      <c r="A491" s="96"/>
      <c r="B491" s="83"/>
      <c r="C491" s="83"/>
      <c r="D491" s="83"/>
      <c r="E491" s="83"/>
      <c r="F491" s="83"/>
      <c r="G491" s="83"/>
      <c r="H491" s="83"/>
    </row>
    <row r="492" ht="15.75" customHeight="1">
      <c r="A492" s="94"/>
      <c r="B492" s="87"/>
      <c r="C492" s="87"/>
      <c r="D492" s="87"/>
      <c r="E492" s="87"/>
      <c r="F492" s="87"/>
      <c r="G492" s="87"/>
      <c r="H492" s="87"/>
    </row>
    <row r="493" ht="15.75" customHeight="1">
      <c r="A493" s="96"/>
      <c r="B493" s="83"/>
      <c r="C493" s="83"/>
      <c r="D493" s="83"/>
      <c r="E493" s="83"/>
      <c r="F493" s="83"/>
      <c r="G493" s="83"/>
      <c r="H493" s="83"/>
    </row>
    <row r="494" ht="15.75" customHeight="1">
      <c r="A494" s="94"/>
      <c r="B494" s="87"/>
      <c r="C494" s="87"/>
      <c r="D494" s="87"/>
      <c r="E494" s="87"/>
      <c r="F494" s="87"/>
      <c r="G494" s="87"/>
      <c r="H494" s="87"/>
    </row>
    <row r="495" ht="15.75" customHeight="1">
      <c r="A495" s="96"/>
      <c r="B495" s="83"/>
      <c r="C495" s="83"/>
      <c r="D495" s="83"/>
      <c r="E495" s="83"/>
      <c r="F495" s="83"/>
      <c r="G495" s="83"/>
      <c r="H495" s="83"/>
    </row>
    <row r="496" ht="15.75" customHeight="1">
      <c r="A496" s="94"/>
      <c r="B496" s="87"/>
      <c r="C496" s="87"/>
      <c r="D496" s="87"/>
      <c r="E496" s="87"/>
      <c r="F496" s="87"/>
      <c r="G496" s="87"/>
      <c r="H496" s="87"/>
    </row>
    <row r="497" ht="15.75" customHeight="1">
      <c r="A497" s="96"/>
      <c r="B497" s="83"/>
      <c r="C497" s="83"/>
      <c r="D497" s="83"/>
      <c r="E497" s="83"/>
      <c r="F497" s="83"/>
      <c r="G497" s="83"/>
      <c r="H497" s="83"/>
    </row>
    <row r="498" ht="15.75" customHeight="1">
      <c r="A498" s="94"/>
      <c r="B498" s="87"/>
      <c r="C498" s="87"/>
      <c r="D498" s="87"/>
      <c r="E498" s="87"/>
      <c r="F498" s="87"/>
      <c r="G498" s="87"/>
      <c r="H498" s="87"/>
    </row>
    <row r="499" ht="15.75" customHeight="1">
      <c r="A499" s="96"/>
      <c r="B499" s="83"/>
      <c r="C499" s="83"/>
      <c r="D499" s="83"/>
      <c r="E499" s="83"/>
      <c r="F499" s="83"/>
      <c r="G499" s="83"/>
      <c r="H499" s="83"/>
    </row>
    <row r="500" ht="15.75" customHeight="1">
      <c r="A500" s="94"/>
      <c r="B500" s="87"/>
      <c r="C500" s="87"/>
      <c r="D500" s="87"/>
      <c r="E500" s="87"/>
      <c r="F500" s="87"/>
      <c r="G500" s="87"/>
      <c r="H500" s="87"/>
    </row>
    <row r="501" ht="15.75" customHeight="1">
      <c r="A501" s="96"/>
      <c r="B501" s="83"/>
      <c r="C501" s="83"/>
      <c r="D501" s="83"/>
      <c r="E501" s="83"/>
      <c r="F501" s="83"/>
      <c r="G501" s="83"/>
      <c r="H501" s="83"/>
    </row>
    <row r="502" ht="15.75" customHeight="1">
      <c r="A502" s="94"/>
      <c r="B502" s="87"/>
      <c r="C502" s="87"/>
      <c r="D502" s="87"/>
      <c r="E502" s="87"/>
      <c r="F502" s="87"/>
      <c r="G502" s="87"/>
      <c r="H502" s="87"/>
    </row>
    <row r="503" ht="15.75" customHeight="1">
      <c r="A503" s="96"/>
      <c r="B503" s="83"/>
      <c r="C503" s="83"/>
      <c r="D503" s="83"/>
      <c r="E503" s="83"/>
      <c r="F503" s="83"/>
      <c r="G503" s="83"/>
      <c r="H503" s="83"/>
    </row>
    <row r="504" ht="15.75" customHeight="1">
      <c r="A504" s="94"/>
      <c r="B504" s="87"/>
      <c r="C504" s="87"/>
      <c r="D504" s="87"/>
      <c r="E504" s="87"/>
      <c r="F504" s="87"/>
      <c r="G504" s="87"/>
      <c r="H504" s="87"/>
    </row>
    <row r="505" ht="15.75" customHeight="1">
      <c r="A505" s="96"/>
      <c r="B505" s="83"/>
      <c r="C505" s="83"/>
      <c r="D505" s="83"/>
      <c r="E505" s="83"/>
      <c r="F505" s="83"/>
      <c r="G505" s="83"/>
      <c r="H505" s="83"/>
    </row>
    <row r="506" ht="15.75" customHeight="1">
      <c r="A506" s="94"/>
      <c r="B506" s="87"/>
      <c r="C506" s="87"/>
      <c r="D506" s="87"/>
      <c r="E506" s="87"/>
      <c r="F506" s="87"/>
      <c r="G506" s="87"/>
      <c r="H506" s="87"/>
    </row>
    <row r="507" ht="15.75" customHeight="1">
      <c r="A507" s="96"/>
      <c r="B507" s="83"/>
      <c r="C507" s="83"/>
      <c r="D507" s="83"/>
      <c r="E507" s="83"/>
      <c r="F507" s="83"/>
      <c r="G507" s="83"/>
      <c r="H507" s="83"/>
    </row>
    <row r="508" ht="15.75" customHeight="1">
      <c r="A508" s="94"/>
      <c r="B508" s="87"/>
      <c r="C508" s="87"/>
      <c r="D508" s="87"/>
      <c r="E508" s="87"/>
      <c r="F508" s="87"/>
      <c r="G508" s="87"/>
      <c r="H508" s="87"/>
    </row>
    <row r="509" ht="15.75" customHeight="1">
      <c r="A509" s="96"/>
      <c r="B509" s="83"/>
      <c r="C509" s="83"/>
      <c r="D509" s="83"/>
      <c r="E509" s="83"/>
      <c r="F509" s="83"/>
      <c r="G509" s="83"/>
      <c r="H509" s="83"/>
    </row>
    <row r="510" ht="15.75" customHeight="1">
      <c r="A510" s="94"/>
      <c r="B510" s="87"/>
      <c r="C510" s="87"/>
      <c r="D510" s="87"/>
      <c r="E510" s="87"/>
      <c r="F510" s="87"/>
      <c r="G510" s="87"/>
      <c r="H510" s="87"/>
    </row>
    <row r="511" ht="15.75" customHeight="1">
      <c r="A511" s="96"/>
      <c r="B511" s="83"/>
      <c r="C511" s="83"/>
      <c r="D511" s="83"/>
      <c r="E511" s="83"/>
      <c r="F511" s="83"/>
      <c r="G511" s="83"/>
      <c r="H511" s="83"/>
    </row>
    <row r="512" ht="15.75" customHeight="1">
      <c r="A512" s="94"/>
      <c r="B512" s="87"/>
      <c r="C512" s="87"/>
      <c r="D512" s="87"/>
      <c r="E512" s="87"/>
      <c r="F512" s="87"/>
      <c r="G512" s="87"/>
      <c r="H512" s="87"/>
    </row>
    <row r="513" ht="15.75" customHeight="1">
      <c r="A513" s="96"/>
      <c r="B513" s="83"/>
      <c r="C513" s="83"/>
      <c r="D513" s="83"/>
      <c r="E513" s="83"/>
      <c r="F513" s="83"/>
      <c r="G513" s="83"/>
      <c r="H513" s="83"/>
    </row>
    <row r="514" ht="15.75" customHeight="1">
      <c r="A514" s="94"/>
      <c r="B514" s="87"/>
      <c r="C514" s="87"/>
      <c r="D514" s="87"/>
      <c r="E514" s="87"/>
      <c r="F514" s="87"/>
      <c r="G514" s="87"/>
      <c r="H514" s="87"/>
    </row>
    <row r="515" ht="15.75" customHeight="1">
      <c r="A515" s="96"/>
      <c r="B515" s="83"/>
      <c r="C515" s="83"/>
      <c r="D515" s="83"/>
      <c r="E515" s="83"/>
      <c r="F515" s="83"/>
      <c r="G515" s="83"/>
      <c r="H515" s="83"/>
    </row>
    <row r="516" ht="15.75" customHeight="1">
      <c r="A516" s="94"/>
      <c r="B516" s="87"/>
      <c r="C516" s="87"/>
      <c r="D516" s="87"/>
      <c r="E516" s="87"/>
      <c r="F516" s="87"/>
      <c r="G516" s="87"/>
      <c r="H516" s="87"/>
    </row>
    <row r="517" ht="15.75" customHeight="1">
      <c r="A517" s="96"/>
      <c r="B517" s="83"/>
      <c r="C517" s="83"/>
      <c r="D517" s="83"/>
      <c r="E517" s="83"/>
      <c r="F517" s="83"/>
      <c r="G517" s="83"/>
      <c r="H517" s="83"/>
    </row>
    <row r="518" ht="15.75" customHeight="1">
      <c r="A518" s="94"/>
      <c r="B518" s="87"/>
      <c r="C518" s="87"/>
      <c r="D518" s="87"/>
      <c r="E518" s="87"/>
      <c r="F518" s="87"/>
      <c r="G518" s="87"/>
      <c r="H518" s="87"/>
    </row>
    <row r="519" ht="15.75" customHeight="1">
      <c r="A519" s="96"/>
      <c r="B519" s="83"/>
      <c r="C519" s="83"/>
      <c r="D519" s="83"/>
      <c r="E519" s="83"/>
      <c r="F519" s="83"/>
      <c r="G519" s="83"/>
      <c r="H519" s="83"/>
    </row>
    <row r="520" ht="15.75" customHeight="1">
      <c r="A520" s="94"/>
      <c r="B520" s="87"/>
      <c r="C520" s="87"/>
      <c r="D520" s="87"/>
      <c r="E520" s="87"/>
      <c r="F520" s="87"/>
      <c r="G520" s="87"/>
      <c r="H520" s="87"/>
    </row>
    <row r="521" ht="15.75" customHeight="1">
      <c r="A521" s="96"/>
      <c r="B521" s="83"/>
      <c r="C521" s="83"/>
      <c r="D521" s="83"/>
      <c r="E521" s="83"/>
      <c r="F521" s="83"/>
      <c r="G521" s="83"/>
      <c r="H521" s="83"/>
    </row>
    <row r="522" ht="15.75" customHeight="1">
      <c r="A522" s="94"/>
      <c r="B522" s="87"/>
      <c r="C522" s="87"/>
      <c r="D522" s="87"/>
      <c r="E522" s="87"/>
      <c r="F522" s="87"/>
      <c r="G522" s="87"/>
      <c r="H522" s="87"/>
    </row>
    <row r="523" ht="15.75" customHeight="1">
      <c r="A523" s="96"/>
      <c r="B523" s="83"/>
      <c r="C523" s="83"/>
      <c r="D523" s="83"/>
      <c r="E523" s="83"/>
      <c r="F523" s="83"/>
      <c r="G523" s="83"/>
      <c r="H523" s="83"/>
    </row>
    <row r="524" ht="15.75" customHeight="1">
      <c r="A524" s="94"/>
      <c r="B524" s="87"/>
      <c r="C524" s="87"/>
      <c r="D524" s="87"/>
      <c r="E524" s="87"/>
      <c r="F524" s="87"/>
      <c r="G524" s="87"/>
      <c r="H524" s="87"/>
    </row>
    <row r="525" ht="15.75" customHeight="1">
      <c r="A525" s="96"/>
      <c r="B525" s="83"/>
      <c r="C525" s="83"/>
      <c r="D525" s="83"/>
      <c r="E525" s="83"/>
      <c r="F525" s="83"/>
      <c r="G525" s="83"/>
      <c r="H525" s="83"/>
    </row>
    <row r="526" ht="15.75" customHeight="1">
      <c r="A526" s="94"/>
      <c r="B526" s="87"/>
      <c r="C526" s="87"/>
      <c r="D526" s="87"/>
      <c r="E526" s="87"/>
      <c r="F526" s="87"/>
      <c r="G526" s="87"/>
      <c r="H526" s="87"/>
    </row>
    <row r="527" ht="15.75" customHeight="1">
      <c r="A527" s="96"/>
      <c r="B527" s="83"/>
      <c r="C527" s="83"/>
      <c r="D527" s="83"/>
      <c r="E527" s="83"/>
      <c r="F527" s="83"/>
      <c r="G527" s="83"/>
      <c r="H527" s="83"/>
    </row>
    <row r="528" ht="15.75" customHeight="1">
      <c r="A528" s="94"/>
      <c r="B528" s="87"/>
      <c r="C528" s="87"/>
      <c r="D528" s="87"/>
      <c r="E528" s="87"/>
      <c r="F528" s="87"/>
      <c r="G528" s="87"/>
      <c r="H528" s="87"/>
    </row>
    <row r="529" ht="15.75" customHeight="1">
      <c r="A529" s="96"/>
      <c r="B529" s="83"/>
      <c r="C529" s="83"/>
      <c r="D529" s="83"/>
      <c r="E529" s="83"/>
      <c r="F529" s="83"/>
      <c r="G529" s="83"/>
      <c r="H529" s="83"/>
    </row>
    <row r="530" ht="15.75" customHeight="1">
      <c r="A530" s="94"/>
      <c r="B530" s="87"/>
      <c r="C530" s="87"/>
      <c r="D530" s="87"/>
      <c r="E530" s="87"/>
      <c r="F530" s="87"/>
      <c r="G530" s="87"/>
      <c r="H530" s="87"/>
    </row>
    <row r="531" ht="15.75" customHeight="1">
      <c r="A531" s="96"/>
      <c r="B531" s="83"/>
      <c r="C531" s="83"/>
      <c r="D531" s="83"/>
      <c r="E531" s="83"/>
      <c r="F531" s="83"/>
      <c r="G531" s="83"/>
      <c r="H531" s="83"/>
    </row>
    <row r="532" ht="15.75" customHeight="1">
      <c r="A532" s="94"/>
      <c r="B532" s="87"/>
      <c r="C532" s="87"/>
      <c r="D532" s="87"/>
      <c r="E532" s="87"/>
      <c r="F532" s="87"/>
      <c r="G532" s="87"/>
      <c r="H532" s="87"/>
    </row>
    <row r="533" ht="15.75" customHeight="1">
      <c r="A533" s="96"/>
      <c r="B533" s="83"/>
      <c r="C533" s="83"/>
      <c r="D533" s="83"/>
      <c r="E533" s="83"/>
      <c r="F533" s="83"/>
      <c r="G533" s="83"/>
      <c r="H533" s="83"/>
    </row>
    <row r="534" ht="15.75" customHeight="1">
      <c r="A534" s="94"/>
      <c r="B534" s="87"/>
      <c r="C534" s="87"/>
      <c r="D534" s="87"/>
      <c r="E534" s="87"/>
      <c r="F534" s="87"/>
      <c r="G534" s="87"/>
      <c r="H534" s="87"/>
    </row>
    <row r="535" ht="15.75" customHeight="1">
      <c r="A535" s="96"/>
      <c r="B535" s="83"/>
      <c r="C535" s="83"/>
      <c r="D535" s="83"/>
      <c r="E535" s="83"/>
      <c r="F535" s="83"/>
      <c r="G535" s="83"/>
      <c r="H535" s="83"/>
    </row>
    <row r="536" ht="15.75" customHeight="1">
      <c r="A536" s="94"/>
      <c r="B536" s="87"/>
      <c r="C536" s="87"/>
      <c r="D536" s="87"/>
      <c r="E536" s="87"/>
      <c r="F536" s="87"/>
      <c r="G536" s="87"/>
      <c r="H536" s="87"/>
    </row>
    <row r="537" ht="15.75" customHeight="1">
      <c r="A537" s="96"/>
      <c r="B537" s="83"/>
      <c r="C537" s="83"/>
      <c r="D537" s="83"/>
      <c r="E537" s="83"/>
      <c r="F537" s="83"/>
      <c r="G537" s="83"/>
      <c r="H537" s="83"/>
    </row>
    <row r="538" ht="15.75" customHeight="1">
      <c r="A538" s="94"/>
      <c r="B538" s="87"/>
      <c r="C538" s="87"/>
      <c r="D538" s="87"/>
      <c r="E538" s="87"/>
      <c r="F538" s="87"/>
      <c r="G538" s="87"/>
      <c r="H538" s="87"/>
    </row>
    <row r="539" ht="15.75" customHeight="1">
      <c r="A539" s="96"/>
      <c r="B539" s="83"/>
      <c r="C539" s="83"/>
      <c r="D539" s="83"/>
      <c r="E539" s="83"/>
      <c r="F539" s="83"/>
      <c r="G539" s="83"/>
      <c r="H539" s="83"/>
    </row>
    <row r="540" ht="15.75" customHeight="1">
      <c r="A540" s="94"/>
      <c r="B540" s="87"/>
      <c r="C540" s="87"/>
      <c r="D540" s="87"/>
      <c r="E540" s="87"/>
      <c r="F540" s="87"/>
      <c r="G540" s="87"/>
      <c r="H540" s="87"/>
    </row>
    <row r="541" ht="15.75" customHeight="1">
      <c r="A541" s="96"/>
      <c r="B541" s="83"/>
      <c r="C541" s="83"/>
      <c r="D541" s="83"/>
      <c r="E541" s="83"/>
      <c r="F541" s="83"/>
      <c r="G541" s="83"/>
      <c r="H541" s="83"/>
    </row>
    <row r="542" ht="15.75" customHeight="1">
      <c r="A542" s="94"/>
      <c r="B542" s="87"/>
      <c r="C542" s="87"/>
      <c r="D542" s="87"/>
      <c r="E542" s="87"/>
      <c r="F542" s="87"/>
      <c r="G542" s="87"/>
      <c r="H542" s="87"/>
    </row>
    <row r="543" ht="15.75" customHeight="1">
      <c r="A543" s="96"/>
      <c r="B543" s="83"/>
      <c r="C543" s="83"/>
      <c r="D543" s="83"/>
      <c r="E543" s="83"/>
      <c r="F543" s="83"/>
      <c r="G543" s="83"/>
      <c r="H543" s="83"/>
    </row>
    <row r="544" ht="15.75" customHeight="1">
      <c r="A544" s="94"/>
      <c r="B544" s="87"/>
      <c r="C544" s="87"/>
      <c r="D544" s="87"/>
      <c r="E544" s="87"/>
      <c r="F544" s="87"/>
      <c r="G544" s="87"/>
      <c r="H544" s="87"/>
    </row>
    <row r="545" ht="15.75" customHeight="1">
      <c r="A545" s="96"/>
      <c r="B545" s="83"/>
      <c r="C545" s="83"/>
      <c r="D545" s="83"/>
      <c r="E545" s="83"/>
      <c r="F545" s="83"/>
      <c r="G545" s="83"/>
      <c r="H545" s="83"/>
    </row>
    <row r="546" ht="15.75" customHeight="1">
      <c r="A546" s="94"/>
      <c r="B546" s="87"/>
      <c r="C546" s="87"/>
      <c r="D546" s="87"/>
      <c r="E546" s="87"/>
      <c r="F546" s="87"/>
      <c r="G546" s="87"/>
      <c r="H546" s="87"/>
    </row>
    <row r="547" ht="15.75" customHeight="1">
      <c r="A547" s="96"/>
      <c r="B547" s="83"/>
      <c r="C547" s="83"/>
      <c r="D547" s="83"/>
      <c r="E547" s="83"/>
      <c r="F547" s="83"/>
      <c r="G547" s="83"/>
      <c r="H547" s="83"/>
    </row>
    <row r="548" ht="15.75" customHeight="1">
      <c r="A548" s="94"/>
      <c r="B548" s="87"/>
      <c r="C548" s="87"/>
      <c r="D548" s="87"/>
      <c r="E548" s="87"/>
      <c r="F548" s="87"/>
      <c r="G548" s="87"/>
      <c r="H548" s="87"/>
    </row>
    <row r="549" ht="15.75" customHeight="1">
      <c r="A549" s="96"/>
      <c r="B549" s="83"/>
      <c r="C549" s="83"/>
      <c r="D549" s="83"/>
      <c r="E549" s="83"/>
      <c r="F549" s="83"/>
      <c r="G549" s="83"/>
      <c r="H549" s="83"/>
    </row>
    <row r="550" ht="15.75" customHeight="1">
      <c r="A550" s="94"/>
      <c r="B550" s="87"/>
      <c r="C550" s="87"/>
      <c r="D550" s="87"/>
      <c r="E550" s="87"/>
      <c r="F550" s="87"/>
      <c r="G550" s="87"/>
      <c r="H550" s="87"/>
    </row>
    <row r="551" ht="15.75" customHeight="1">
      <c r="A551" s="96"/>
      <c r="B551" s="83"/>
      <c r="C551" s="83"/>
      <c r="D551" s="83"/>
      <c r="E551" s="83"/>
      <c r="F551" s="83"/>
      <c r="G551" s="83"/>
      <c r="H551" s="83"/>
    </row>
    <row r="552" ht="15.75" customHeight="1">
      <c r="A552" s="94"/>
      <c r="B552" s="87"/>
      <c r="C552" s="87"/>
      <c r="D552" s="87"/>
      <c r="E552" s="87"/>
      <c r="F552" s="87"/>
      <c r="G552" s="87"/>
      <c r="H552" s="87"/>
    </row>
    <row r="553" ht="15.75" customHeight="1">
      <c r="A553" s="96"/>
      <c r="B553" s="83"/>
      <c r="C553" s="83"/>
      <c r="D553" s="83"/>
      <c r="E553" s="83"/>
      <c r="F553" s="83"/>
      <c r="G553" s="83"/>
      <c r="H553" s="83"/>
    </row>
    <row r="554" ht="15.75" customHeight="1">
      <c r="A554" s="94"/>
      <c r="B554" s="87"/>
      <c r="C554" s="87"/>
      <c r="D554" s="87"/>
      <c r="E554" s="87"/>
      <c r="F554" s="87"/>
      <c r="G554" s="87"/>
      <c r="H554" s="87"/>
    </row>
    <row r="555" ht="15.75" customHeight="1">
      <c r="A555" s="96"/>
      <c r="B555" s="83"/>
      <c r="C555" s="83"/>
      <c r="D555" s="83"/>
      <c r="E555" s="83"/>
      <c r="F555" s="83"/>
      <c r="G555" s="83"/>
      <c r="H555" s="83"/>
    </row>
    <row r="556" ht="15.75" customHeight="1">
      <c r="A556" s="94"/>
      <c r="B556" s="87"/>
      <c r="C556" s="87"/>
      <c r="D556" s="87"/>
      <c r="E556" s="87"/>
      <c r="F556" s="87"/>
      <c r="G556" s="87"/>
      <c r="H556" s="87"/>
    </row>
    <row r="557" ht="15.75" customHeight="1">
      <c r="A557" s="96"/>
      <c r="B557" s="83"/>
      <c r="C557" s="83"/>
      <c r="D557" s="83"/>
      <c r="E557" s="83"/>
      <c r="F557" s="83"/>
      <c r="G557" s="83"/>
      <c r="H557" s="83"/>
    </row>
    <row r="558" ht="15.75" customHeight="1">
      <c r="A558" s="94"/>
      <c r="B558" s="87"/>
      <c r="C558" s="87"/>
      <c r="D558" s="87"/>
      <c r="E558" s="87"/>
      <c r="F558" s="87"/>
      <c r="G558" s="87"/>
      <c r="H558" s="87"/>
    </row>
    <row r="559" ht="15.75" customHeight="1">
      <c r="A559" s="96"/>
      <c r="B559" s="83"/>
      <c r="C559" s="83"/>
      <c r="D559" s="83"/>
      <c r="E559" s="83"/>
      <c r="F559" s="83"/>
      <c r="G559" s="83"/>
      <c r="H559" s="83"/>
    </row>
    <row r="560" ht="15.75" customHeight="1">
      <c r="A560" s="94"/>
      <c r="B560" s="87"/>
      <c r="C560" s="87"/>
      <c r="D560" s="87"/>
      <c r="E560" s="87"/>
      <c r="F560" s="87"/>
      <c r="G560" s="87"/>
      <c r="H560" s="87"/>
    </row>
    <row r="561" ht="15.75" customHeight="1">
      <c r="A561" s="96"/>
      <c r="B561" s="83"/>
      <c r="C561" s="83"/>
      <c r="D561" s="83"/>
      <c r="E561" s="83"/>
      <c r="F561" s="83"/>
      <c r="G561" s="83"/>
      <c r="H561" s="83"/>
    </row>
    <row r="562" ht="15.75" customHeight="1">
      <c r="A562" s="94"/>
      <c r="B562" s="87"/>
      <c r="C562" s="87"/>
      <c r="D562" s="87"/>
      <c r="E562" s="87"/>
      <c r="F562" s="87"/>
      <c r="G562" s="87"/>
      <c r="H562" s="87"/>
    </row>
    <row r="563" ht="15.75" customHeight="1">
      <c r="A563" s="96"/>
      <c r="B563" s="83"/>
      <c r="C563" s="83"/>
      <c r="D563" s="83"/>
      <c r="E563" s="83"/>
      <c r="F563" s="83"/>
      <c r="G563" s="83"/>
      <c r="H563" s="83"/>
    </row>
    <row r="564" ht="15.75" customHeight="1">
      <c r="A564" s="94"/>
      <c r="B564" s="87"/>
      <c r="C564" s="87"/>
      <c r="D564" s="87"/>
      <c r="E564" s="87"/>
      <c r="F564" s="87"/>
      <c r="G564" s="87"/>
      <c r="H564" s="87"/>
    </row>
    <row r="565" ht="15.75" customHeight="1">
      <c r="A565" s="96"/>
      <c r="B565" s="83"/>
      <c r="C565" s="83"/>
      <c r="D565" s="83"/>
      <c r="E565" s="83"/>
      <c r="F565" s="83"/>
      <c r="G565" s="83"/>
      <c r="H565" s="83"/>
    </row>
    <row r="566" ht="15.75" customHeight="1">
      <c r="A566" s="94"/>
      <c r="B566" s="87"/>
      <c r="C566" s="87"/>
      <c r="D566" s="87"/>
      <c r="E566" s="87"/>
      <c r="F566" s="87"/>
      <c r="G566" s="87"/>
      <c r="H566" s="87"/>
    </row>
    <row r="567" ht="15.75" customHeight="1">
      <c r="A567" s="96"/>
      <c r="B567" s="83"/>
      <c r="C567" s="83"/>
      <c r="D567" s="83"/>
      <c r="E567" s="83"/>
      <c r="F567" s="83"/>
      <c r="G567" s="83"/>
      <c r="H567" s="83"/>
    </row>
    <row r="568" ht="15.75" customHeight="1">
      <c r="A568" s="94"/>
      <c r="B568" s="87"/>
      <c r="C568" s="87"/>
      <c r="D568" s="87"/>
      <c r="E568" s="87"/>
      <c r="F568" s="87"/>
      <c r="G568" s="87"/>
      <c r="H568" s="87"/>
    </row>
    <row r="569" ht="15.75" customHeight="1">
      <c r="A569" s="96"/>
      <c r="B569" s="83"/>
      <c r="C569" s="83"/>
      <c r="D569" s="83"/>
      <c r="E569" s="83"/>
      <c r="F569" s="83"/>
      <c r="G569" s="83"/>
      <c r="H569" s="83"/>
    </row>
    <row r="570" ht="15.75" customHeight="1">
      <c r="A570" s="94"/>
      <c r="B570" s="87"/>
      <c r="C570" s="87"/>
      <c r="D570" s="87"/>
      <c r="E570" s="87"/>
      <c r="F570" s="87"/>
      <c r="G570" s="87"/>
      <c r="H570" s="87"/>
    </row>
    <row r="571" ht="15.75" customHeight="1">
      <c r="A571" s="96"/>
      <c r="B571" s="83"/>
      <c r="C571" s="83"/>
      <c r="D571" s="83"/>
      <c r="E571" s="83"/>
      <c r="F571" s="83"/>
      <c r="G571" s="83"/>
      <c r="H571" s="83"/>
    </row>
    <row r="572" ht="15.75" customHeight="1">
      <c r="A572" s="94"/>
      <c r="B572" s="87"/>
      <c r="C572" s="87"/>
      <c r="D572" s="87"/>
      <c r="E572" s="87"/>
      <c r="F572" s="87"/>
      <c r="G572" s="87"/>
      <c r="H572" s="87"/>
    </row>
    <row r="573" ht="15.75" customHeight="1">
      <c r="A573" s="96"/>
      <c r="B573" s="83"/>
      <c r="C573" s="83"/>
      <c r="D573" s="83"/>
      <c r="E573" s="83"/>
      <c r="F573" s="83"/>
      <c r="G573" s="83"/>
      <c r="H573" s="83"/>
    </row>
    <row r="574" ht="15.75" customHeight="1">
      <c r="A574" s="94"/>
      <c r="B574" s="87"/>
      <c r="C574" s="87"/>
      <c r="D574" s="87"/>
      <c r="E574" s="87"/>
      <c r="F574" s="87"/>
      <c r="G574" s="87"/>
      <c r="H574" s="87"/>
    </row>
    <row r="575" ht="15.75" customHeight="1">
      <c r="A575" s="96"/>
      <c r="B575" s="83"/>
      <c r="C575" s="83"/>
      <c r="D575" s="83"/>
      <c r="E575" s="83"/>
      <c r="F575" s="83"/>
      <c r="G575" s="83"/>
      <c r="H575" s="83"/>
    </row>
    <row r="576" ht="15.75" customHeight="1">
      <c r="A576" s="94"/>
      <c r="B576" s="87"/>
      <c r="C576" s="87"/>
      <c r="D576" s="87"/>
      <c r="E576" s="87"/>
      <c r="F576" s="87"/>
      <c r="G576" s="87"/>
      <c r="H576" s="87"/>
    </row>
    <row r="577" ht="15.75" customHeight="1">
      <c r="A577" s="96"/>
      <c r="B577" s="83"/>
      <c r="C577" s="83"/>
      <c r="D577" s="83"/>
      <c r="E577" s="83"/>
      <c r="F577" s="83"/>
      <c r="G577" s="83"/>
      <c r="H577" s="83"/>
    </row>
    <row r="578" ht="15.75" customHeight="1">
      <c r="A578" s="94"/>
      <c r="B578" s="87"/>
      <c r="C578" s="87"/>
      <c r="D578" s="87"/>
      <c r="E578" s="87"/>
      <c r="F578" s="87"/>
      <c r="G578" s="87"/>
      <c r="H578" s="87"/>
    </row>
    <row r="579" ht="15.75" customHeight="1">
      <c r="A579" s="96"/>
      <c r="B579" s="83"/>
      <c r="C579" s="83"/>
      <c r="D579" s="83"/>
      <c r="E579" s="83"/>
      <c r="F579" s="83"/>
      <c r="G579" s="83"/>
      <c r="H579" s="83"/>
    </row>
    <row r="580" ht="15.75" customHeight="1">
      <c r="A580" s="94"/>
      <c r="B580" s="87"/>
      <c r="C580" s="87"/>
      <c r="D580" s="87"/>
      <c r="E580" s="87"/>
      <c r="F580" s="87"/>
      <c r="G580" s="87"/>
      <c r="H580" s="87"/>
    </row>
    <row r="581" ht="15.75" customHeight="1">
      <c r="A581" s="96"/>
      <c r="B581" s="83"/>
      <c r="C581" s="83"/>
      <c r="D581" s="83"/>
      <c r="E581" s="83"/>
      <c r="F581" s="83"/>
      <c r="G581" s="83"/>
      <c r="H581" s="83"/>
    </row>
    <row r="582" ht="15.75" customHeight="1">
      <c r="A582" s="94"/>
      <c r="B582" s="87"/>
      <c r="C582" s="87"/>
      <c r="D582" s="87"/>
      <c r="E582" s="87"/>
      <c r="F582" s="87"/>
      <c r="G582" s="87"/>
      <c r="H582" s="87"/>
    </row>
    <row r="583" ht="15.75" customHeight="1">
      <c r="A583" s="96"/>
      <c r="B583" s="83"/>
      <c r="C583" s="83"/>
      <c r="D583" s="83"/>
      <c r="E583" s="83"/>
      <c r="F583" s="83"/>
      <c r="G583" s="83"/>
      <c r="H583" s="83"/>
    </row>
    <row r="584" ht="15.75" customHeight="1">
      <c r="A584" s="94"/>
      <c r="B584" s="87"/>
      <c r="C584" s="87"/>
      <c r="D584" s="87"/>
      <c r="E584" s="87"/>
      <c r="F584" s="87"/>
      <c r="G584" s="87"/>
      <c r="H584" s="87"/>
    </row>
    <row r="585" ht="15.75" customHeight="1">
      <c r="A585" s="96"/>
      <c r="B585" s="83"/>
      <c r="C585" s="83"/>
      <c r="D585" s="83"/>
      <c r="E585" s="83"/>
      <c r="F585" s="83"/>
      <c r="G585" s="83"/>
      <c r="H585" s="83"/>
    </row>
    <row r="586" ht="15.75" customHeight="1">
      <c r="A586" s="94"/>
      <c r="B586" s="87"/>
      <c r="C586" s="87"/>
      <c r="D586" s="87"/>
      <c r="E586" s="87"/>
      <c r="F586" s="87"/>
      <c r="G586" s="87"/>
      <c r="H586" s="87"/>
    </row>
    <row r="587" ht="15.75" customHeight="1">
      <c r="A587" s="96"/>
      <c r="B587" s="83"/>
      <c r="C587" s="83"/>
      <c r="D587" s="83"/>
      <c r="E587" s="83"/>
      <c r="F587" s="83"/>
      <c r="G587" s="83"/>
      <c r="H587" s="83"/>
    </row>
    <row r="588" ht="15.75" customHeight="1">
      <c r="A588" s="94"/>
      <c r="B588" s="87"/>
      <c r="C588" s="87"/>
      <c r="D588" s="87"/>
      <c r="E588" s="87"/>
      <c r="F588" s="87"/>
      <c r="G588" s="87"/>
      <c r="H588" s="87"/>
    </row>
    <row r="589" ht="15.75" customHeight="1">
      <c r="A589" s="96"/>
      <c r="B589" s="83"/>
      <c r="C589" s="83"/>
      <c r="D589" s="83"/>
      <c r="E589" s="83"/>
      <c r="F589" s="83"/>
      <c r="G589" s="83"/>
      <c r="H589" s="83"/>
    </row>
    <row r="590" ht="15.75" customHeight="1">
      <c r="A590" s="94"/>
      <c r="B590" s="87"/>
      <c r="C590" s="87"/>
      <c r="D590" s="87"/>
      <c r="E590" s="87"/>
      <c r="F590" s="87"/>
      <c r="G590" s="87"/>
      <c r="H590" s="87"/>
    </row>
    <row r="591" ht="15.75" customHeight="1">
      <c r="A591" s="96"/>
      <c r="B591" s="83"/>
      <c r="C591" s="83"/>
      <c r="D591" s="83"/>
      <c r="E591" s="83"/>
      <c r="F591" s="83"/>
      <c r="G591" s="83"/>
      <c r="H591" s="83"/>
    </row>
    <row r="592" ht="15.75" customHeight="1">
      <c r="A592" s="94"/>
      <c r="B592" s="87"/>
      <c r="C592" s="87"/>
      <c r="D592" s="87"/>
      <c r="E592" s="87"/>
      <c r="F592" s="87"/>
      <c r="G592" s="87"/>
      <c r="H592" s="87"/>
    </row>
    <row r="593" ht="15.75" customHeight="1">
      <c r="A593" s="96"/>
      <c r="B593" s="83"/>
      <c r="C593" s="83"/>
      <c r="D593" s="83"/>
      <c r="E593" s="83"/>
      <c r="F593" s="83"/>
      <c r="G593" s="83"/>
      <c r="H593" s="83"/>
    </row>
    <row r="594" ht="15.75" customHeight="1">
      <c r="A594" s="94"/>
      <c r="B594" s="87"/>
      <c r="C594" s="87"/>
      <c r="D594" s="87"/>
      <c r="E594" s="87"/>
      <c r="F594" s="87"/>
      <c r="G594" s="87"/>
      <c r="H594" s="87"/>
    </row>
    <row r="595" ht="15.75" customHeight="1">
      <c r="A595" s="96"/>
      <c r="B595" s="83"/>
      <c r="C595" s="83"/>
      <c r="D595" s="83"/>
      <c r="E595" s="83"/>
      <c r="F595" s="83"/>
      <c r="G595" s="83"/>
      <c r="H595" s="83"/>
    </row>
    <row r="596" ht="15.75" customHeight="1">
      <c r="A596" s="94"/>
      <c r="B596" s="87"/>
      <c r="C596" s="87"/>
      <c r="D596" s="87"/>
      <c r="E596" s="87"/>
      <c r="F596" s="87"/>
      <c r="G596" s="87"/>
      <c r="H596" s="87"/>
    </row>
    <row r="597" ht="15.75" customHeight="1">
      <c r="A597" s="96"/>
      <c r="B597" s="83"/>
      <c r="C597" s="83"/>
      <c r="D597" s="83"/>
      <c r="E597" s="83"/>
      <c r="F597" s="83"/>
      <c r="G597" s="83"/>
      <c r="H597" s="83"/>
    </row>
    <row r="598" ht="15.75" customHeight="1">
      <c r="A598" s="94"/>
      <c r="B598" s="87"/>
      <c r="C598" s="87"/>
      <c r="D598" s="87"/>
      <c r="E598" s="87"/>
      <c r="F598" s="87"/>
      <c r="G598" s="87"/>
      <c r="H598" s="87"/>
    </row>
    <row r="599" ht="15.75" customHeight="1">
      <c r="A599" s="96"/>
      <c r="B599" s="83"/>
      <c r="C599" s="83"/>
      <c r="D599" s="83"/>
      <c r="E599" s="83"/>
      <c r="F599" s="83"/>
      <c r="G599" s="83"/>
      <c r="H599" s="83"/>
    </row>
    <row r="600" ht="15.75" customHeight="1">
      <c r="A600" s="94"/>
      <c r="B600" s="87"/>
      <c r="C600" s="87"/>
      <c r="D600" s="87"/>
      <c r="E600" s="87"/>
      <c r="F600" s="87"/>
      <c r="G600" s="87"/>
      <c r="H600" s="87"/>
    </row>
    <row r="601" ht="15.75" customHeight="1">
      <c r="A601" s="96"/>
      <c r="B601" s="83"/>
      <c r="C601" s="83"/>
      <c r="D601" s="83"/>
      <c r="E601" s="83"/>
      <c r="F601" s="83"/>
      <c r="G601" s="83"/>
      <c r="H601" s="83"/>
    </row>
    <row r="602" ht="15.75" customHeight="1">
      <c r="A602" s="94"/>
      <c r="B602" s="87"/>
      <c r="C602" s="87"/>
      <c r="D602" s="87"/>
      <c r="E602" s="87"/>
      <c r="F602" s="87"/>
      <c r="G602" s="87"/>
      <c r="H602" s="87"/>
    </row>
    <row r="603" ht="15.75" customHeight="1">
      <c r="A603" s="96"/>
      <c r="B603" s="83"/>
      <c r="C603" s="83"/>
      <c r="D603" s="83"/>
      <c r="E603" s="83"/>
      <c r="F603" s="83"/>
      <c r="G603" s="83"/>
      <c r="H603" s="83"/>
    </row>
    <row r="604" ht="15.75" customHeight="1">
      <c r="A604" s="94"/>
      <c r="B604" s="87"/>
      <c r="C604" s="87"/>
      <c r="D604" s="87"/>
      <c r="E604" s="87"/>
      <c r="F604" s="87"/>
      <c r="G604" s="87"/>
      <c r="H604" s="87"/>
    </row>
    <row r="605" ht="15.75" customHeight="1">
      <c r="A605" s="96"/>
      <c r="B605" s="83"/>
      <c r="C605" s="83"/>
      <c r="D605" s="83"/>
      <c r="E605" s="83"/>
      <c r="F605" s="83"/>
      <c r="G605" s="83"/>
      <c r="H605" s="83"/>
    </row>
    <row r="606" ht="15.75" customHeight="1">
      <c r="A606" s="94"/>
      <c r="B606" s="87"/>
      <c r="C606" s="87"/>
      <c r="D606" s="87"/>
      <c r="E606" s="87"/>
      <c r="F606" s="87"/>
      <c r="G606" s="87"/>
      <c r="H606" s="87"/>
    </row>
    <row r="607" ht="15.75" customHeight="1">
      <c r="A607" s="96"/>
      <c r="B607" s="83"/>
      <c r="C607" s="83"/>
      <c r="D607" s="83"/>
      <c r="E607" s="83"/>
      <c r="F607" s="83"/>
      <c r="G607" s="83"/>
      <c r="H607" s="83"/>
    </row>
    <row r="608" ht="15.75" customHeight="1">
      <c r="A608" s="94"/>
      <c r="B608" s="87"/>
      <c r="C608" s="87"/>
      <c r="D608" s="87"/>
      <c r="E608" s="87"/>
      <c r="F608" s="87"/>
      <c r="G608" s="87"/>
      <c r="H608" s="87"/>
    </row>
    <row r="609" ht="15.75" customHeight="1">
      <c r="A609" s="96"/>
      <c r="B609" s="83"/>
      <c r="C609" s="83"/>
      <c r="D609" s="83"/>
      <c r="E609" s="83"/>
      <c r="F609" s="83"/>
      <c r="G609" s="83"/>
      <c r="H609" s="83"/>
    </row>
    <row r="610" ht="15.75" customHeight="1">
      <c r="A610" s="94"/>
      <c r="B610" s="87"/>
      <c r="C610" s="87"/>
      <c r="D610" s="87"/>
      <c r="E610" s="87"/>
      <c r="F610" s="87"/>
      <c r="G610" s="87"/>
      <c r="H610" s="87"/>
    </row>
    <row r="611" ht="15.75" customHeight="1">
      <c r="A611" s="96"/>
      <c r="B611" s="83"/>
      <c r="C611" s="83"/>
      <c r="D611" s="83"/>
      <c r="E611" s="83"/>
      <c r="F611" s="83"/>
      <c r="G611" s="83"/>
      <c r="H611" s="83"/>
    </row>
    <row r="612" ht="15.75" customHeight="1">
      <c r="A612" s="94"/>
      <c r="B612" s="87"/>
      <c r="C612" s="87"/>
      <c r="D612" s="87"/>
      <c r="E612" s="87"/>
      <c r="F612" s="87"/>
      <c r="G612" s="87"/>
      <c r="H612" s="87"/>
    </row>
    <row r="613" ht="15.75" customHeight="1">
      <c r="A613" s="96"/>
      <c r="B613" s="83"/>
      <c r="C613" s="83"/>
      <c r="D613" s="83"/>
      <c r="E613" s="83"/>
      <c r="F613" s="83"/>
      <c r="G613" s="83"/>
      <c r="H613" s="83"/>
    </row>
    <row r="614" ht="15.75" customHeight="1">
      <c r="A614" s="94"/>
      <c r="B614" s="87"/>
      <c r="C614" s="87"/>
      <c r="D614" s="87"/>
      <c r="E614" s="87"/>
      <c r="F614" s="87"/>
      <c r="G614" s="87"/>
      <c r="H614" s="87"/>
    </row>
    <row r="615" ht="15.75" customHeight="1">
      <c r="A615" s="96"/>
      <c r="B615" s="83"/>
      <c r="C615" s="83"/>
      <c r="D615" s="83"/>
      <c r="E615" s="83"/>
      <c r="F615" s="83"/>
      <c r="G615" s="83"/>
      <c r="H615" s="83"/>
    </row>
    <row r="616" ht="15.75" customHeight="1">
      <c r="A616" s="94"/>
      <c r="B616" s="87"/>
      <c r="C616" s="87"/>
      <c r="D616" s="87"/>
      <c r="E616" s="87"/>
      <c r="F616" s="87"/>
      <c r="G616" s="87"/>
      <c r="H616" s="87"/>
    </row>
    <row r="617" ht="15.75" customHeight="1">
      <c r="A617" s="96"/>
      <c r="B617" s="83"/>
      <c r="C617" s="83"/>
      <c r="D617" s="83"/>
      <c r="E617" s="83"/>
      <c r="F617" s="83"/>
      <c r="G617" s="83"/>
      <c r="H617" s="83"/>
    </row>
    <row r="618" ht="15.75" customHeight="1">
      <c r="A618" s="94"/>
      <c r="B618" s="87"/>
      <c r="C618" s="87"/>
      <c r="D618" s="87"/>
      <c r="E618" s="87"/>
      <c r="F618" s="87"/>
      <c r="G618" s="87"/>
      <c r="H618" s="87"/>
    </row>
    <row r="619" ht="15.75" customHeight="1">
      <c r="A619" s="96"/>
      <c r="B619" s="83"/>
      <c r="C619" s="83"/>
      <c r="D619" s="83"/>
      <c r="E619" s="83"/>
      <c r="F619" s="83"/>
      <c r="G619" s="83"/>
      <c r="H619" s="83"/>
    </row>
    <row r="620" ht="15.75" customHeight="1">
      <c r="A620" s="94"/>
      <c r="B620" s="87"/>
      <c r="C620" s="87"/>
      <c r="D620" s="87"/>
      <c r="E620" s="87"/>
      <c r="F620" s="87"/>
      <c r="G620" s="87"/>
      <c r="H620" s="87"/>
    </row>
    <row r="621" ht="15.75" customHeight="1">
      <c r="A621" s="96"/>
      <c r="B621" s="83"/>
      <c r="C621" s="83"/>
      <c r="D621" s="83"/>
      <c r="E621" s="83"/>
      <c r="F621" s="83"/>
      <c r="G621" s="83"/>
      <c r="H621" s="83"/>
    </row>
    <row r="622" ht="15.75" customHeight="1">
      <c r="A622" s="94"/>
      <c r="B622" s="87"/>
      <c r="C622" s="87"/>
      <c r="D622" s="87"/>
      <c r="E622" s="87"/>
      <c r="F622" s="87"/>
      <c r="G622" s="87"/>
      <c r="H622" s="87"/>
    </row>
    <row r="623" ht="15.75" customHeight="1">
      <c r="A623" s="96"/>
      <c r="B623" s="83"/>
      <c r="C623" s="83"/>
      <c r="D623" s="83"/>
      <c r="E623" s="83"/>
      <c r="F623" s="83"/>
      <c r="G623" s="83"/>
      <c r="H623" s="83"/>
    </row>
    <row r="624" ht="15.75" customHeight="1">
      <c r="A624" s="94"/>
      <c r="B624" s="87"/>
      <c r="C624" s="87"/>
      <c r="D624" s="87"/>
      <c r="E624" s="87"/>
      <c r="F624" s="87"/>
      <c r="G624" s="87"/>
      <c r="H624" s="87"/>
    </row>
    <row r="625" ht="15.75" customHeight="1">
      <c r="A625" s="96"/>
      <c r="B625" s="83"/>
      <c r="C625" s="83"/>
      <c r="D625" s="83"/>
      <c r="E625" s="83"/>
      <c r="F625" s="83"/>
      <c r="G625" s="83"/>
      <c r="H625" s="83"/>
    </row>
    <row r="626" ht="15.75" customHeight="1">
      <c r="A626" s="94"/>
      <c r="B626" s="87"/>
      <c r="C626" s="87"/>
      <c r="D626" s="87"/>
      <c r="E626" s="87"/>
      <c r="F626" s="87"/>
      <c r="G626" s="87"/>
      <c r="H626" s="87"/>
    </row>
    <row r="627" ht="15.75" customHeight="1">
      <c r="A627" s="96"/>
      <c r="B627" s="83"/>
      <c r="C627" s="83"/>
      <c r="D627" s="83"/>
      <c r="E627" s="83"/>
      <c r="F627" s="83"/>
      <c r="G627" s="83"/>
      <c r="H627" s="83"/>
    </row>
    <row r="628" ht="15.75" customHeight="1">
      <c r="A628" s="94"/>
      <c r="B628" s="87"/>
      <c r="C628" s="87"/>
      <c r="D628" s="87"/>
      <c r="E628" s="87"/>
      <c r="F628" s="87"/>
      <c r="G628" s="87"/>
      <c r="H628" s="87"/>
    </row>
    <row r="629" ht="15.75" customHeight="1">
      <c r="A629" s="96"/>
      <c r="B629" s="83"/>
      <c r="C629" s="83"/>
      <c r="D629" s="83"/>
      <c r="E629" s="83"/>
      <c r="F629" s="83"/>
      <c r="G629" s="83"/>
      <c r="H629" s="83"/>
    </row>
    <row r="630" ht="15.75" customHeight="1">
      <c r="A630" s="94"/>
      <c r="B630" s="87"/>
      <c r="C630" s="87"/>
      <c r="D630" s="87"/>
      <c r="E630" s="87"/>
      <c r="F630" s="87"/>
      <c r="G630" s="87"/>
      <c r="H630" s="87"/>
    </row>
    <row r="631" ht="15.75" customHeight="1">
      <c r="A631" s="96"/>
      <c r="B631" s="83"/>
      <c r="C631" s="83"/>
      <c r="D631" s="83"/>
      <c r="E631" s="83"/>
      <c r="F631" s="83"/>
      <c r="G631" s="83"/>
      <c r="H631" s="83"/>
    </row>
    <row r="632" ht="15.75" customHeight="1">
      <c r="A632" s="94"/>
      <c r="B632" s="87"/>
      <c r="C632" s="87"/>
      <c r="D632" s="87"/>
      <c r="E632" s="87"/>
      <c r="F632" s="87"/>
      <c r="G632" s="87"/>
      <c r="H632" s="87"/>
    </row>
    <row r="633" ht="15.75" customHeight="1">
      <c r="A633" s="96"/>
      <c r="B633" s="83"/>
      <c r="C633" s="83"/>
      <c r="D633" s="83"/>
      <c r="E633" s="83"/>
      <c r="F633" s="83"/>
      <c r="G633" s="83"/>
      <c r="H633" s="83"/>
    </row>
    <row r="634" ht="15.75" customHeight="1">
      <c r="A634" s="94"/>
      <c r="B634" s="87"/>
      <c r="C634" s="87"/>
      <c r="D634" s="87"/>
      <c r="E634" s="87"/>
      <c r="F634" s="87"/>
      <c r="G634" s="87"/>
      <c r="H634" s="87"/>
    </row>
    <row r="635" ht="15.75" customHeight="1">
      <c r="A635" s="96"/>
      <c r="B635" s="83"/>
      <c r="C635" s="83"/>
      <c r="D635" s="83"/>
      <c r="E635" s="83"/>
      <c r="F635" s="83"/>
      <c r="G635" s="83"/>
      <c r="H635" s="83"/>
    </row>
    <row r="636" ht="15.75" customHeight="1">
      <c r="A636" s="94"/>
      <c r="B636" s="87"/>
      <c r="C636" s="87"/>
      <c r="D636" s="87"/>
      <c r="E636" s="87"/>
      <c r="F636" s="87"/>
      <c r="G636" s="87"/>
      <c r="H636" s="87"/>
    </row>
    <row r="637" ht="15.75" customHeight="1">
      <c r="A637" s="96"/>
      <c r="B637" s="83"/>
      <c r="C637" s="83"/>
      <c r="D637" s="83"/>
      <c r="E637" s="83"/>
      <c r="F637" s="83"/>
      <c r="G637" s="83"/>
      <c r="H637" s="83"/>
    </row>
    <row r="638" ht="15.75" customHeight="1">
      <c r="A638" s="94"/>
      <c r="B638" s="87"/>
      <c r="C638" s="87"/>
      <c r="D638" s="87"/>
      <c r="E638" s="87"/>
      <c r="F638" s="87"/>
      <c r="G638" s="87"/>
      <c r="H638" s="87"/>
    </row>
    <row r="639" ht="15.75" customHeight="1">
      <c r="A639" s="96"/>
      <c r="B639" s="83"/>
      <c r="C639" s="83"/>
      <c r="D639" s="83"/>
      <c r="E639" s="83"/>
      <c r="F639" s="83"/>
      <c r="G639" s="83"/>
      <c r="H639" s="83"/>
    </row>
    <row r="640" ht="15.75" customHeight="1">
      <c r="A640" s="94"/>
      <c r="B640" s="87"/>
      <c r="C640" s="87"/>
      <c r="D640" s="87"/>
      <c r="E640" s="87"/>
      <c r="F640" s="87"/>
      <c r="G640" s="87"/>
      <c r="H640" s="87"/>
    </row>
    <row r="641" ht="15.75" customHeight="1">
      <c r="A641" s="96"/>
      <c r="B641" s="83"/>
      <c r="C641" s="83"/>
      <c r="D641" s="83"/>
      <c r="E641" s="83"/>
      <c r="F641" s="83"/>
      <c r="G641" s="83"/>
      <c r="H641" s="83"/>
    </row>
    <row r="642" ht="15.75" customHeight="1">
      <c r="A642" s="94"/>
      <c r="B642" s="87"/>
      <c r="C642" s="87"/>
      <c r="D642" s="87"/>
      <c r="E642" s="87"/>
      <c r="F642" s="87"/>
      <c r="G642" s="87"/>
      <c r="H642" s="87"/>
    </row>
    <row r="643" ht="15.75" customHeight="1">
      <c r="A643" s="96"/>
      <c r="B643" s="83"/>
      <c r="C643" s="83"/>
      <c r="D643" s="83"/>
      <c r="E643" s="83"/>
      <c r="F643" s="83"/>
      <c r="G643" s="83"/>
      <c r="H643" s="83"/>
    </row>
    <row r="644" ht="15.75" customHeight="1">
      <c r="A644" s="94"/>
      <c r="B644" s="87"/>
      <c r="C644" s="87"/>
      <c r="D644" s="87"/>
      <c r="E644" s="87"/>
      <c r="F644" s="87"/>
      <c r="G644" s="87"/>
      <c r="H644" s="87"/>
    </row>
    <row r="645" ht="15.75" customHeight="1">
      <c r="A645" s="96"/>
      <c r="B645" s="83"/>
      <c r="C645" s="83"/>
      <c r="D645" s="83"/>
      <c r="E645" s="83"/>
      <c r="F645" s="83"/>
      <c r="G645" s="83"/>
      <c r="H645" s="83"/>
    </row>
    <row r="646" ht="15.75" customHeight="1">
      <c r="A646" s="94"/>
      <c r="B646" s="87"/>
      <c r="C646" s="87"/>
      <c r="D646" s="87"/>
      <c r="E646" s="87"/>
      <c r="F646" s="87"/>
      <c r="G646" s="87"/>
      <c r="H646" s="87"/>
    </row>
    <row r="647" ht="15.75" customHeight="1">
      <c r="A647" s="96"/>
      <c r="B647" s="83"/>
      <c r="C647" s="83"/>
      <c r="D647" s="83"/>
      <c r="E647" s="83"/>
      <c r="F647" s="83"/>
      <c r="G647" s="83"/>
      <c r="H647" s="83"/>
    </row>
    <row r="648" ht="15.75" customHeight="1">
      <c r="A648" s="94"/>
      <c r="B648" s="87"/>
      <c r="C648" s="87"/>
      <c r="D648" s="87"/>
      <c r="E648" s="87"/>
      <c r="F648" s="87"/>
      <c r="G648" s="87"/>
      <c r="H648" s="87"/>
    </row>
    <row r="649" ht="15.75" customHeight="1">
      <c r="A649" s="96"/>
      <c r="B649" s="83"/>
      <c r="C649" s="83"/>
      <c r="D649" s="83"/>
      <c r="E649" s="83"/>
      <c r="F649" s="83"/>
      <c r="G649" s="83"/>
      <c r="H649" s="83"/>
    </row>
    <row r="650" ht="15.75" customHeight="1">
      <c r="A650" s="94"/>
      <c r="B650" s="87"/>
      <c r="C650" s="87"/>
      <c r="D650" s="87"/>
      <c r="E650" s="87"/>
      <c r="F650" s="87"/>
      <c r="G650" s="87"/>
      <c r="H650" s="87"/>
    </row>
    <row r="651" ht="15.75" customHeight="1">
      <c r="A651" s="96"/>
      <c r="B651" s="83"/>
      <c r="C651" s="83"/>
      <c r="D651" s="83"/>
      <c r="E651" s="83"/>
      <c r="F651" s="83"/>
      <c r="G651" s="83"/>
      <c r="H651" s="83"/>
    </row>
    <row r="652" ht="15.75" customHeight="1">
      <c r="A652" s="94"/>
      <c r="B652" s="87"/>
      <c r="C652" s="87"/>
      <c r="D652" s="87"/>
      <c r="E652" s="87"/>
      <c r="F652" s="87"/>
      <c r="G652" s="87"/>
      <c r="H652" s="87"/>
    </row>
    <row r="653" ht="15.75" customHeight="1">
      <c r="A653" s="96"/>
      <c r="B653" s="83"/>
      <c r="C653" s="83"/>
      <c r="D653" s="83"/>
      <c r="E653" s="83"/>
      <c r="F653" s="83"/>
      <c r="G653" s="83"/>
      <c r="H653" s="83"/>
    </row>
    <row r="654" ht="15.75" customHeight="1">
      <c r="A654" s="94"/>
      <c r="B654" s="87"/>
      <c r="C654" s="87"/>
      <c r="D654" s="87"/>
      <c r="E654" s="87"/>
      <c r="F654" s="87"/>
      <c r="G654" s="87"/>
      <c r="H654" s="87"/>
    </row>
    <row r="655" ht="15.75" customHeight="1">
      <c r="A655" s="96"/>
      <c r="B655" s="83"/>
      <c r="C655" s="83"/>
      <c r="D655" s="83"/>
      <c r="E655" s="83"/>
      <c r="F655" s="83"/>
      <c r="G655" s="83"/>
      <c r="H655" s="83"/>
    </row>
    <row r="656" ht="15.75" customHeight="1">
      <c r="A656" s="94"/>
      <c r="B656" s="87"/>
      <c r="C656" s="87"/>
      <c r="D656" s="87"/>
      <c r="E656" s="87"/>
      <c r="F656" s="87"/>
      <c r="G656" s="87"/>
      <c r="H656" s="87"/>
    </row>
    <row r="657" ht="15.75" customHeight="1">
      <c r="A657" s="96"/>
      <c r="B657" s="83"/>
      <c r="C657" s="83"/>
      <c r="D657" s="83"/>
      <c r="E657" s="83"/>
      <c r="F657" s="83"/>
      <c r="G657" s="83"/>
      <c r="H657" s="83"/>
    </row>
    <row r="658" ht="15.75" customHeight="1">
      <c r="A658" s="94"/>
      <c r="B658" s="87"/>
      <c r="C658" s="87"/>
      <c r="D658" s="87"/>
      <c r="E658" s="87"/>
      <c r="F658" s="87"/>
      <c r="G658" s="87"/>
      <c r="H658" s="87"/>
    </row>
    <row r="659" ht="15.75" customHeight="1">
      <c r="A659" s="96"/>
      <c r="B659" s="83"/>
      <c r="C659" s="83"/>
      <c r="D659" s="83"/>
      <c r="E659" s="83"/>
      <c r="F659" s="83"/>
      <c r="G659" s="83"/>
      <c r="H659" s="83"/>
    </row>
    <row r="660" ht="15.75" customHeight="1">
      <c r="A660" s="94"/>
      <c r="B660" s="87"/>
      <c r="C660" s="87"/>
      <c r="D660" s="87"/>
      <c r="E660" s="87"/>
      <c r="F660" s="87"/>
      <c r="G660" s="87"/>
      <c r="H660" s="87"/>
    </row>
    <row r="661" ht="15.75" customHeight="1">
      <c r="A661" s="96"/>
      <c r="B661" s="83"/>
      <c r="C661" s="83"/>
      <c r="D661" s="83"/>
      <c r="E661" s="83"/>
      <c r="F661" s="83"/>
      <c r="G661" s="83"/>
      <c r="H661" s="83"/>
    </row>
    <row r="662" ht="15.75" customHeight="1">
      <c r="A662" s="94"/>
      <c r="B662" s="87"/>
      <c r="C662" s="87"/>
      <c r="D662" s="87"/>
      <c r="E662" s="87"/>
      <c r="F662" s="87"/>
      <c r="G662" s="87"/>
      <c r="H662" s="87"/>
    </row>
    <row r="663" ht="15.75" customHeight="1">
      <c r="A663" s="96"/>
      <c r="B663" s="83"/>
      <c r="C663" s="83"/>
      <c r="D663" s="83"/>
      <c r="E663" s="83"/>
      <c r="F663" s="83"/>
      <c r="G663" s="83"/>
      <c r="H663" s="83"/>
    </row>
    <row r="664" ht="15.75" customHeight="1">
      <c r="A664" s="94"/>
      <c r="B664" s="87"/>
      <c r="C664" s="87"/>
      <c r="D664" s="87"/>
      <c r="E664" s="87"/>
      <c r="F664" s="87"/>
      <c r="G664" s="87"/>
      <c r="H664" s="87"/>
    </row>
    <row r="665" ht="15.75" customHeight="1">
      <c r="A665" s="96"/>
      <c r="B665" s="83"/>
      <c r="C665" s="83"/>
      <c r="D665" s="83"/>
      <c r="E665" s="83"/>
      <c r="F665" s="83"/>
      <c r="G665" s="83"/>
      <c r="H665" s="83"/>
    </row>
    <row r="666" ht="15.75" customHeight="1">
      <c r="A666" s="94"/>
      <c r="B666" s="87"/>
      <c r="C666" s="87"/>
      <c r="D666" s="87"/>
      <c r="E666" s="87"/>
      <c r="F666" s="87"/>
      <c r="G666" s="87"/>
      <c r="H666" s="87"/>
    </row>
    <row r="667" ht="15.75" customHeight="1">
      <c r="A667" s="96"/>
      <c r="B667" s="83"/>
      <c r="C667" s="83"/>
      <c r="D667" s="83"/>
      <c r="E667" s="83"/>
      <c r="F667" s="83"/>
      <c r="G667" s="83"/>
      <c r="H667" s="83"/>
    </row>
    <row r="668" ht="15.75" customHeight="1">
      <c r="A668" s="94"/>
      <c r="B668" s="87"/>
      <c r="C668" s="87"/>
      <c r="D668" s="87"/>
      <c r="E668" s="87"/>
      <c r="F668" s="87"/>
      <c r="G668" s="87"/>
      <c r="H668" s="87"/>
    </row>
    <row r="669" ht="15.75" customHeight="1">
      <c r="A669" s="96"/>
      <c r="B669" s="83"/>
      <c r="C669" s="83"/>
      <c r="D669" s="83"/>
      <c r="E669" s="83"/>
      <c r="F669" s="83"/>
      <c r="G669" s="83"/>
      <c r="H669" s="83"/>
    </row>
    <row r="670" ht="15.75" customHeight="1">
      <c r="A670" s="94"/>
      <c r="B670" s="87"/>
      <c r="C670" s="87"/>
      <c r="D670" s="87"/>
      <c r="E670" s="87"/>
      <c r="F670" s="87"/>
      <c r="G670" s="87"/>
      <c r="H670" s="87"/>
    </row>
    <row r="671" ht="15.75" customHeight="1">
      <c r="A671" s="96"/>
      <c r="B671" s="83"/>
      <c r="C671" s="83"/>
      <c r="D671" s="83"/>
      <c r="E671" s="83"/>
      <c r="F671" s="83"/>
      <c r="G671" s="83"/>
      <c r="H671" s="83"/>
    </row>
    <row r="672" ht="15.75" customHeight="1">
      <c r="A672" s="94"/>
      <c r="B672" s="87"/>
      <c r="C672" s="87"/>
      <c r="D672" s="87"/>
      <c r="E672" s="87"/>
      <c r="F672" s="87"/>
      <c r="G672" s="87"/>
      <c r="H672" s="87"/>
    </row>
    <row r="673" ht="15.75" customHeight="1">
      <c r="A673" s="96"/>
      <c r="B673" s="83"/>
      <c r="C673" s="83"/>
      <c r="D673" s="83"/>
      <c r="E673" s="83"/>
      <c r="F673" s="83"/>
      <c r="G673" s="83"/>
      <c r="H673" s="83"/>
    </row>
    <row r="674" ht="15.75" customHeight="1">
      <c r="A674" s="94"/>
      <c r="B674" s="87"/>
      <c r="C674" s="87"/>
      <c r="D674" s="87"/>
      <c r="E674" s="87"/>
      <c r="F674" s="87"/>
      <c r="G674" s="87"/>
      <c r="H674" s="87"/>
    </row>
    <row r="675" ht="15.75" customHeight="1">
      <c r="A675" s="96"/>
      <c r="B675" s="83"/>
      <c r="C675" s="83"/>
      <c r="D675" s="83"/>
      <c r="E675" s="83"/>
      <c r="F675" s="83"/>
      <c r="G675" s="83"/>
      <c r="H675" s="83"/>
    </row>
    <row r="676" ht="15.75" customHeight="1">
      <c r="A676" s="94"/>
      <c r="B676" s="87"/>
      <c r="C676" s="87"/>
      <c r="D676" s="87"/>
      <c r="E676" s="87"/>
      <c r="F676" s="87"/>
      <c r="G676" s="87"/>
      <c r="H676" s="87"/>
    </row>
    <row r="677" ht="15.75" customHeight="1">
      <c r="A677" s="96"/>
      <c r="B677" s="83"/>
      <c r="C677" s="83"/>
      <c r="D677" s="83"/>
      <c r="E677" s="83"/>
      <c r="F677" s="83"/>
      <c r="G677" s="83"/>
      <c r="H677" s="83"/>
    </row>
    <row r="678" ht="15.75" customHeight="1">
      <c r="A678" s="94"/>
      <c r="B678" s="87"/>
      <c r="C678" s="87"/>
      <c r="D678" s="87"/>
      <c r="E678" s="87"/>
      <c r="F678" s="87"/>
      <c r="G678" s="87"/>
      <c r="H678" s="87"/>
    </row>
    <row r="679" ht="15.75" customHeight="1">
      <c r="A679" s="96"/>
      <c r="B679" s="83"/>
      <c r="C679" s="83"/>
      <c r="D679" s="83"/>
      <c r="E679" s="83"/>
      <c r="F679" s="83"/>
      <c r="G679" s="83"/>
      <c r="H679" s="83"/>
    </row>
    <row r="680" ht="15.75" customHeight="1">
      <c r="A680" s="94"/>
      <c r="B680" s="87"/>
      <c r="C680" s="87"/>
      <c r="D680" s="87"/>
      <c r="E680" s="87"/>
      <c r="F680" s="87"/>
      <c r="G680" s="87"/>
      <c r="H680" s="87"/>
    </row>
    <row r="681" ht="15.75" customHeight="1">
      <c r="A681" s="96"/>
      <c r="B681" s="83"/>
      <c r="C681" s="83"/>
      <c r="D681" s="83"/>
      <c r="E681" s="83"/>
      <c r="F681" s="83"/>
      <c r="G681" s="83"/>
      <c r="H681" s="83"/>
    </row>
    <row r="682" ht="15.75" customHeight="1">
      <c r="A682" s="94"/>
      <c r="B682" s="87"/>
      <c r="C682" s="87"/>
      <c r="D682" s="87"/>
      <c r="E682" s="87"/>
      <c r="F682" s="87"/>
      <c r="G682" s="87"/>
      <c r="H682" s="87"/>
    </row>
    <row r="683" ht="15.75" customHeight="1">
      <c r="A683" s="96"/>
      <c r="B683" s="83"/>
      <c r="C683" s="83"/>
      <c r="D683" s="83"/>
      <c r="E683" s="83"/>
      <c r="F683" s="83"/>
      <c r="G683" s="83"/>
      <c r="H683" s="83"/>
    </row>
    <row r="684" ht="15.75" customHeight="1">
      <c r="A684" s="94"/>
      <c r="B684" s="87"/>
      <c r="C684" s="87"/>
      <c r="D684" s="87"/>
      <c r="E684" s="87"/>
      <c r="F684" s="87"/>
      <c r="G684" s="87"/>
      <c r="H684" s="87"/>
    </row>
    <row r="685" ht="15.75" customHeight="1">
      <c r="A685" s="96"/>
      <c r="B685" s="83"/>
      <c r="C685" s="83"/>
      <c r="D685" s="83"/>
      <c r="E685" s="83"/>
      <c r="F685" s="83"/>
      <c r="G685" s="83"/>
      <c r="H685" s="83"/>
    </row>
    <row r="686" ht="15.75" customHeight="1">
      <c r="A686" s="94"/>
      <c r="B686" s="87"/>
      <c r="C686" s="87"/>
      <c r="D686" s="87"/>
      <c r="E686" s="87"/>
      <c r="F686" s="87"/>
      <c r="G686" s="87"/>
      <c r="H686" s="87"/>
    </row>
    <row r="687" ht="15.75" customHeight="1">
      <c r="A687" s="96"/>
      <c r="B687" s="83"/>
      <c r="C687" s="83"/>
      <c r="D687" s="83"/>
      <c r="E687" s="83"/>
      <c r="F687" s="83"/>
      <c r="G687" s="83"/>
      <c r="H687" s="83"/>
    </row>
    <row r="688" ht="15.75" customHeight="1">
      <c r="A688" s="94"/>
      <c r="B688" s="87"/>
      <c r="C688" s="87"/>
      <c r="D688" s="87"/>
      <c r="E688" s="87"/>
      <c r="F688" s="87"/>
      <c r="G688" s="87"/>
      <c r="H688" s="87"/>
    </row>
    <row r="689" ht="15.75" customHeight="1">
      <c r="A689" s="96"/>
      <c r="B689" s="83"/>
      <c r="C689" s="83"/>
      <c r="D689" s="83"/>
      <c r="E689" s="83"/>
      <c r="F689" s="83"/>
      <c r="G689" s="83"/>
      <c r="H689" s="83"/>
    </row>
    <row r="690" ht="15.75" customHeight="1">
      <c r="A690" s="94"/>
      <c r="B690" s="87"/>
      <c r="C690" s="87"/>
      <c r="D690" s="87"/>
      <c r="E690" s="87"/>
      <c r="F690" s="87"/>
      <c r="G690" s="87"/>
      <c r="H690" s="87"/>
    </row>
    <row r="691" ht="15.75" customHeight="1">
      <c r="A691" s="96"/>
      <c r="B691" s="83"/>
      <c r="C691" s="83"/>
      <c r="D691" s="83"/>
      <c r="E691" s="83"/>
      <c r="F691" s="83"/>
      <c r="G691" s="83"/>
      <c r="H691" s="83"/>
    </row>
    <row r="692" ht="15.75" customHeight="1">
      <c r="A692" s="94"/>
      <c r="B692" s="87"/>
      <c r="C692" s="87"/>
      <c r="D692" s="87"/>
      <c r="E692" s="87"/>
      <c r="F692" s="87"/>
      <c r="G692" s="87"/>
      <c r="H692" s="87"/>
    </row>
    <row r="693" ht="15.75" customHeight="1">
      <c r="A693" s="96"/>
      <c r="B693" s="83"/>
      <c r="C693" s="83"/>
      <c r="D693" s="83"/>
      <c r="E693" s="83"/>
      <c r="F693" s="83"/>
      <c r="G693" s="83"/>
      <c r="H693" s="83"/>
    </row>
    <row r="694" ht="15.75" customHeight="1">
      <c r="A694" s="94"/>
      <c r="B694" s="87"/>
      <c r="C694" s="87"/>
      <c r="D694" s="87"/>
      <c r="E694" s="87"/>
      <c r="F694" s="87"/>
      <c r="G694" s="87"/>
      <c r="H694" s="87"/>
    </row>
    <row r="695" ht="15.75" customHeight="1">
      <c r="A695" s="96"/>
      <c r="B695" s="83"/>
      <c r="C695" s="83"/>
      <c r="D695" s="83"/>
      <c r="E695" s="83"/>
      <c r="F695" s="83"/>
      <c r="G695" s="83"/>
      <c r="H695" s="83"/>
    </row>
    <row r="696" ht="15.75" customHeight="1">
      <c r="A696" s="94"/>
      <c r="B696" s="87"/>
      <c r="C696" s="87"/>
      <c r="D696" s="87"/>
      <c r="E696" s="87"/>
      <c r="F696" s="87"/>
      <c r="G696" s="87"/>
      <c r="H696" s="87"/>
    </row>
    <row r="697" ht="15.75" customHeight="1">
      <c r="A697" s="96"/>
      <c r="B697" s="83"/>
      <c r="C697" s="83"/>
      <c r="D697" s="83"/>
      <c r="E697" s="83"/>
      <c r="F697" s="83"/>
      <c r="G697" s="83"/>
      <c r="H697" s="83"/>
    </row>
    <row r="698" ht="15.75" customHeight="1">
      <c r="A698" s="94"/>
      <c r="B698" s="87"/>
      <c r="C698" s="87"/>
      <c r="D698" s="87"/>
      <c r="E698" s="87"/>
      <c r="F698" s="87"/>
      <c r="G698" s="87"/>
      <c r="H698" s="87"/>
    </row>
    <row r="699" ht="15.75" customHeight="1">
      <c r="A699" s="96"/>
      <c r="B699" s="83"/>
      <c r="C699" s="83"/>
      <c r="D699" s="83"/>
      <c r="E699" s="83"/>
      <c r="F699" s="83"/>
      <c r="G699" s="83"/>
      <c r="H699" s="83"/>
    </row>
    <row r="700" ht="15.75" customHeight="1">
      <c r="A700" s="94"/>
      <c r="B700" s="87"/>
      <c r="C700" s="87"/>
      <c r="D700" s="87"/>
      <c r="E700" s="87"/>
      <c r="F700" s="87"/>
      <c r="G700" s="87"/>
      <c r="H700" s="87"/>
    </row>
    <row r="701" ht="15.75" customHeight="1">
      <c r="A701" s="96"/>
      <c r="B701" s="83"/>
      <c r="C701" s="83"/>
      <c r="D701" s="83"/>
      <c r="E701" s="83"/>
      <c r="F701" s="83"/>
      <c r="G701" s="83"/>
      <c r="H701" s="83"/>
    </row>
    <row r="702" ht="15.75" customHeight="1">
      <c r="A702" s="94"/>
      <c r="B702" s="87"/>
      <c r="C702" s="87"/>
      <c r="D702" s="87"/>
      <c r="E702" s="87"/>
      <c r="F702" s="87"/>
      <c r="G702" s="87"/>
      <c r="H702" s="87"/>
    </row>
    <row r="703" ht="15.75" customHeight="1">
      <c r="A703" s="96"/>
      <c r="B703" s="83"/>
      <c r="C703" s="83"/>
      <c r="D703" s="83"/>
      <c r="E703" s="83"/>
      <c r="F703" s="83"/>
      <c r="G703" s="83"/>
      <c r="H703" s="83"/>
    </row>
    <row r="704" ht="15.75" customHeight="1">
      <c r="A704" s="94"/>
      <c r="B704" s="87"/>
      <c r="C704" s="87"/>
      <c r="D704" s="87"/>
      <c r="E704" s="87"/>
      <c r="F704" s="87"/>
      <c r="G704" s="87"/>
      <c r="H704" s="87"/>
    </row>
    <row r="705" ht="15.75" customHeight="1">
      <c r="A705" s="96"/>
      <c r="B705" s="83"/>
      <c r="C705" s="83"/>
      <c r="D705" s="83"/>
      <c r="E705" s="83"/>
      <c r="F705" s="83"/>
      <c r="G705" s="83"/>
      <c r="H705" s="83"/>
    </row>
    <row r="706" ht="15.75" customHeight="1">
      <c r="A706" s="94"/>
      <c r="B706" s="87"/>
      <c r="C706" s="87"/>
      <c r="D706" s="87"/>
      <c r="E706" s="87"/>
      <c r="F706" s="87"/>
      <c r="G706" s="87"/>
      <c r="H706" s="87"/>
    </row>
    <row r="707" ht="15.75" customHeight="1">
      <c r="A707" s="96"/>
      <c r="B707" s="83"/>
      <c r="C707" s="83"/>
      <c r="D707" s="83"/>
      <c r="E707" s="83"/>
      <c r="F707" s="83"/>
      <c r="G707" s="83"/>
      <c r="H707" s="83"/>
    </row>
    <row r="708" ht="15.75" customHeight="1">
      <c r="A708" s="94"/>
      <c r="B708" s="87"/>
      <c r="C708" s="87"/>
      <c r="D708" s="87"/>
      <c r="E708" s="87"/>
      <c r="F708" s="87"/>
      <c r="G708" s="87"/>
      <c r="H708" s="87"/>
    </row>
    <row r="709" ht="15.75" customHeight="1">
      <c r="A709" s="96"/>
      <c r="B709" s="83"/>
      <c r="C709" s="83"/>
      <c r="D709" s="83"/>
      <c r="E709" s="83"/>
      <c r="F709" s="83"/>
      <c r="G709" s="83"/>
      <c r="H709" s="83"/>
    </row>
    <row r="710" ht="15.75" customHeight="1">
      <c r="A710" s="94"/>
      <c r="B710" s="87"/>
      <c r="C710" s="87"/>
      <c r="D710" s="87"/>
      <c r="E710" s="87"/>
      <c r="F710" s="87"/>
      <c r="G710" s="87"/>
      <c r="H710" s="87"/>
    </row>
    <row r="711" ht="15.75" customHeight="1">
      <c r="A711" s="96"/>
      <c r="B711" s="83"/>
      <c r="C711" s="83"/>
      <c r="D711" s="83"/>
      <c r="E711" s="83"/>
      <c r="F711" s="83"/>
      <c r="G711" s="83"/>
      <c r="H711" s="83"/>
    </row>
    <row r="712" ht="15.75" customHeight="1">
      <c r="A712" s="94"/>
      <c r="B712" s="87"/>
      <c r="C712" s="87"/>
      <c r="D712" s="87"/>
      <c r="E712" s="87"/>
      <c r="F712" s="87"/>
      <c r="G712" s="87"/>
      <c r="H712" s="87"/>
    </row>
    <row r="713" ht="15.75" customHeight="1">
      <c r="A713" s="96"/>
      <c r="B713" s="83"/>
      <c r="C713" s="83"/>
      <c r="D713" s="83"/>
      <c r="E713" s="83"/>
      <c r="F713" s="83"/>
      <c r="G713" s="83"/>
      <c r="H713" s="83"/>
    </row>
    <row r="714" ht="15.75" customHeight="1">
      <c r="A714" s="94"/>
      <c r="B714" s="87"/>
      <c r="C714" s="87"/>
      <c r="D714" s="87"/>
      <c r="E714" s="87"/>
      <c r="F714" s="87"/>
      <c r="G714" s="87"/>
      <c r="H714" s="87"/>
    </row>
    <row r="715" ht="15.75" customHeight="1">
      <c r="A715" s="96"/>
      <c r="B715" s="83"/>
      <c r="C715" s="83"/>
      <c r="D715" s="83"/>
      <c r="E715" s="83"/>
      <c r="F715" s="83"/>
      <c r="G715" s="83"/>
      <c r="H715" s="83"/>
    </row>
    <row r="716" ht="15.75" customHeight="1">
      <c r="A716" s="94"/>
      <c r="B716" s="87"/>
      <c r="C716" s="87"/>
      <c r="D716" s="87"/>
      <c r="E716" s="87"/>
      <c r="F716" s="87"/>
      <c r="G716" s="87"/>
      <c r="H716" s="87"/>
    </row>
    <row r="717" ht="15.75" customHeight="1">
      <c r="A717" s="96"/>
      <c r="B717" s="83"/>
      <c r="C717" s="83"/>
      <c r="D717" s="83"/>
      <c r="E717" s="83"/>
      <c r="F717" s="83"/>
      <c r="G717" s="83"/>
      <c r="H717" s="83"/>
    </row>
    <row r="718" ht="15.75" customHeight="1">
      <c r="A718" s="94"/>
      <c r="B718" s="87"/>
      <c r="C718" s="87"/>
      <c r="D718" s="87"/>
      <c r="E718" s="87"/>
      <c r="F718" s="87"/>
      <c r="G718" s="87"/>
      <c r="H718" s="87"/>
    </row>
    <row r="719" ht="15.75" customHeight="1">
      <c r="A719" s="96"/>
      <c r="B719" s="83"/>
      <c r="C719" s="83"/>
      <c r="D719" s="83"/>
      <c r="E719" s="83"/>
      <c r="F719" s="83"/>
      <c r="G719" s="83"/>
      <c r="H719" s="83"/>
    </row>
    <row r="720" ht="15.75" customHeight="1">
      <c r="A720" s="94"/>
      <c r="B720" s="87"/>
      <c r="C720" s="87"/>
      <c r="D720" s="87"/>
      <c r="E720" s="87"/>
      <c r="F720" s="87"/>
      <c r="G720" s="87"/>
      <c r="H720" s="87"/>
    </row>
    <row r="721" ht="15.75" customHeight="1">
      <c r="A721" s="96"/>
      <c r="B721" s="83"/>
      <c r="C721" s="83"/>
      <c r="D721" s="83"/>
      <c r="E721" s="83"/>
      <c r="F721" s="83"/>
      <c r="G721" s="83"/>
      <c r="H721" s="83"/>
    </row>
    <row r="722" ht="15.75" customHeight="1">
      <c r="A722" s="94"/>
      <c r="B722" s="87"/>
      <c r="C722" s="87"/>
      <c r="D722" s="87"/>
      <c r="E722" s="87"/>
      <c r="F722" s="87"/>
      <c r="G722" s="87"/>
      <c r="H722" s="87"/>
    </row>
    <row r="723" ht="15.75" customHeight="1">
      <c r="A723" s="96"/>
      <c r="B723" s="83"/>
      <c r="C723" s="83"/>
      <c r="D723" s="83"/>
      <c r="E723" s="83"/>
      <c r="F723" s="83"/>
      <c r="G723" s="83"/>
      <c r="H723" s="83"/>
    </row>
    <row r="724" ht="15.75" customHeight="1">
      <c r="A724" s="94"/>
      <c r="B724" s="87"/>
      <c r="C724" s="87"/>
      <c r="D724" s="87"/>
      <c r="E724" s="87"/>
      <c r="F724" s="87"/>
      <c r="G724" s="87"/>
      <c r="H724" s="87"/>
    </row>
    <row r="725" ht="15.75" customHeight="1">
      <c r="A725" s="96"/>
      <c r="B725" s="83"/>
      <c r="C725" s="83"/>
      <c r="D725" s="83"/>
      <c r="E725" s="83"/>
      <c r="F725" s="83"/>
      <c r="G725" s="83"/>
      <c r="H725" s="83"/>
    </row>
    <row r="726" ht="15.75" customHeight="1">
      <c r="A726" s="94"/>
      <c r="B726" s="87"/>
      <c r="C726" s="87"/>
      <c r="D726" s="87"/>
      <c r="E726" s="87"/>
      <c r="F726" s="87"/>
      <c r="G726" s="87"/>
      <c r="H726" s="87"/>
    </row>
    <row r="727" ht="15.75" customHeight="1">
      <c r="A727" s="96"/>
      <c r="B727" s="83"/>
      <c r="C727" s="83"/>
      <c r="D727" s="83"/>
      <c r="E727" s="83"/>
      <c r="F727" s="83"/>
      <c r="G727" s="83"/>
      <c r="H727" s="83"/>
    </row>
    <row r="728" ht="15.75" customHeight="1">
      <c r="A728" s="94"/>
      <c r="B728" s="87"/>
      <c r="C728" s="87"/>
      <c r="D728" s="87"/>
      <c r="E728" s="87"/>
      <c r="F728" s="87"/>
      <c r="G728" s="87"/>
      <c r="H728" s="87"/>
    </row>
    <row r="729" ht="15.75" customHeight="1">
      <c r="A729" s="96"/>
      <c r="B729" s="83"/>
      <c r="C729" s="83"/>
      <c r="D729" s="83"/>
      <c r="E729" s="83"/>
      <c r="F729" s="83"/>
      <c r="G729" s="83"/>
      <c r="H729" s="83"/>
    </row>
    <row r="730" ht="15.75" customHeight="1">
      <c r="A730" s="94"/>
      <c r="B730" s="87"/>
      <c r="C730" s="87"/>
      <c r="D730" s="87"/>
      <c r="E730" s="87"/>
      <c r="F730" s="87"/>
      <c r="G730" s="87"/>
      <c r="H730" s="87"/>
    </row>
    <row r="731" ht="15.75" customHeight="1">
      <c r="A731" s="96"/>
      <c r="B731" s="83"/>
      <c r="C731" s="83"/>
      <c r="D731" s="83"/>
      <c r="E731" s="83"/>
      <c r="F731" s="83"/>
      <c r="G731" s="83"/>
      <c r="H731" s="83"/>
    </row>
    <row r="732" ht="15.75" customHeight="1">
      <c r="A732" s="94"/>
      <c r="B732" s="87"/>
      <c r="C732" s="87"/>
      <c r="D732" s="87"/>
      <c r="E732" s="87"/>
      <c r="F732" s="87"/>
      <c r="G732" s="87"/>
      <c r="H732" s="87"/>
    </row>
    <row r="733" ht="15.75" customHeight="1">
      <c r="A733" s="96"/>
      <c r="B733" s="83"/>
      <c r="C733" s="83"/>
      <c r="D733" s="83"/>
      <c r="E733" s="83"/>
      <c r="F733" s="83"/>
      <c r="G733" s="83"/>
      <c r="H733" s="83"/>
    </row>
    <row r="734" ht="15.75" customHeight="1">
      <c r="A734" s="94"/>
      <c r="B734" s="87"/>
      <c r="C734" s="87"/>
      <c r="D734" s="87"/>
      <c r="E734" s="87"/>
      <c r="F734" s="87"/>
      <c r="G734" s="87"/>
      <c r="H734" s="87"/>
    </row>
    <row r="735" ht="15.75" customHeight="1">
      <c r="A735" s="96"/>
      <c r="B735" s="83"/>
      <c r="C735" s="83"/>
      <c r="D735" s="83"/>
      <c r="E735" s="83"/>
      <c r="F735" s="83"/>
      <c r="G735" s="83"/>
      <c r="H735" s="83"/>
    </row>
    <row r="736" ht="15.75" customHeight="1">
      <c r="A736" s="94"/>
      <c r="B736" s="87"/>
      <c r="C736" s="87"/>
      <c r="D736" s="87"/>
      <c r="E736" s="87"/>
      <c r="F736" s="87"/>
      <c r="G736" s="87"/>
      <c r="H736" s="87"/>
    </row>
    <row r="737" ht="15.75" customHeight="1">
      <c r="A737" s="96"/>
      <c r="B737" s="83"/>
      <c r="C737" s="83"/>
      <c r="D737" s="83"/>
      <c r="E737" s="83"/>
      <c r="F737" s="83"/>
      <c r="G737" s="83"/>
      <c r="H737" s="83"/>
    </row>
    <row r="738" ht="15.75" customHeight="1">
      <c r="A738" s="94"/>
      <c r="B738" s="87"/>
      <c r="C738" s="87"/>
      <c r="D738" s="87"/>
      <c r="E738" s="87"/>
      <c r="F738" s="87"/>
      <c r="G738" s="87"/>
      <c r="H738" s="87"/>
    </row>
    <row r="739" ht="15.75" customHeight="1">
      <c r="A739" s="96"/>
      <c r="B739" s="83"/>
      <c r="C739" s="83"/>
      <c r="D739" s="83"/>
      <c r="E739" s="83"/>
      <c r="F739" s="83"/>
      <c r="G739" s="83"/>
      <c r="H739" s="83"/>
    </row>
    <row r="740" ht="15.75" customHeight="1">
      <c r="A740" s="94"/>
      <c r="B740" s="87"/>
      <c r="C740" s="87"/>
      <c r="D740" s="87"/>
      <c r="E740" s="87"/>
      <c r="F740" s="87"/>
      <c r="G740" s="87"/>
      <c r="H740" s="87"/>
    </row>
    <row r="741" ht="15.75" customHeight="1">
      <c r="A741" s="96"/>
      <c r="B741" s="83"/>
      <c r="C741" s="83"/>
      <c r="D741" s="83"/>
      <c r="E741" s="83"/>
      <c r="F741" s="83"/>
      <c r="G741" s="83"/>
      <c r="H741" s="83"/>
    </row>
    <row r="742" ht="15.75" customHeight="1">
      <c r="A742" s="94"/>
      <c r="B742" s="87"/>
      <c r="C742" s="87"/>
      <c r="D742" s="87"/>
      <c r="E742" s="87"/>
      <c r="F742" s="87"/>
      <c r="G742" s="87"/>
      <c r="H742" s="87"/>
    </row>
    <row r="743" ht="15.75" customHeight="1">
      <c r="A743" s="96"/>
      <c r="B743" s="83"/>
      <c r="C743" s="83"/>
      <c r="D743" s="83"/>
      <c r="E743" s="83"/>
      <c r="F743" s="83"/>
      <c r="G743" s="83"/>
      <c r="H743" s="83"/>
    </row>
    <row r="744" ht="15.75" customHeight="1">
      <c r="A744" s="94"/>
      <c r="B744" s="87"/>
      <c r="C744" s="87"/>
      <c r="D744" s="87"/>
      <c r="E744" s="87"/>
      <c r="F744" s="87"/>
      <c r="G744" s="87"/>
      <c r="H744" s="87"/>
    </row>
    <row r="745" ht="15.75" customHeight="1">
      <c r="A745" s="96"/>
      <c r="B745" s="83"/>
      <c r="C745" s="83"/>
      <c r="D745" s="83"/>
      <c r="E745" s="83"/>
      <c r="F745" s="83"/>
      <c r="G745" s="83"/>
      <c r="H745" s="83"/>
    </row>
    <row r="746" ht="15.75" customHeight="1">
      <c r="A746" s="94"/>
      <c r="B746" s="87"/>
      <c r="C746" s="87"/>
      <c r="D746" s="87"/>
      <c r="E746" s="87"/>
      <c r="F746" s="87"/>
      <c r="G746" s="87"/>
      <c r="H746" s="87"/>
    </row>
    <row r="747" ht="15.75" customHeight="1">
      <c r="A747" s="96"/>
      <c r="B747" s="83"/>
      <c r="C747" s="83"/>
      <c r="D747" s="83"/>
      <c r="E747" s="83"/>
      <c r="F747" s="83"/>
      <c r="G747" s="83"/>
      <c r="H747" s="83"/>
    </row>
    <row r="748" ht="15.75" customHeight="1">
      <c r="A748" s="94"/>
      <c r="B748" s="87"/>
      <c r="C748" s="87"/>
      <c r="D748" s="87"/>
      <c r="E748" s="87"/>
      <c r="F748" s="87"/>
      <c r="G748" s="87"/>
      <c r="H748" s="87"/>
    </row>
    <row r="749" ht="15.75" customHeight="1">
      <c r="A749" s="96"/>
      <c r="B749" s="83"/>
      <c r="C749" s="83"/>
      <c r="D749" s="83"/>
      <c r="E749" s="83"/>
      <c r="F749" s="83"/>
      <c r="G749" s="83"/>
      <c r="H749" s="83"/>
    </row>
    <row r="750" ht="15.75" customHeight="1">
      <c r="A750" s="94"/>
      <c r="B750" s="87"/>
      <c r="C750" s="87"/>
      <c r="D750" s="87"/>
      <c r="E750" s="87"/>
      <c r="F750" s="87"/>
      <c r="G750" s="87"/>
      <c r="H750" s="87"/>
    </row>
    <row r="751" ht="15.75" customHeight="1">
      <c r="A751" s="96"/>
      <c r="B751" s="83"/>
      <c r="C751" s="83"/>
      <c r="D751" s="83"/>
      <c r="E751" s="83"/>
      <c r="F751" s="83"/>
      <c r="G751" s="83"/>
      <c r="H751" s="83"/>
    </row>
    <row r="752" ht="15.75" customHeight="1">
      <c r="A752" s="94"/>
      <c r="B752" s="87"/>
      <c r="C752" s="87"/>
      <c r="D752" s="87"/>
      <c r="E752" s="87"/>
      <c r="F752" s="87"/>
      <c r="G752" s="87"/>
      <c r="H752" s="87"/>
    </row>
    <row r="753" ht="15.75" customHeight="1">
      <c r="A753" s="96"/>
      <c r="B753" s="83"/>
      <c r="C753" s="83"/>
      <c r="D753" s="83"/>
      <c r="E753" s="83"/>
      <c r="F753" s="83"/>
      <c r="G753" s="83"/>
      <c r="H753" s="83"/>
    </row>
    <row r="754" ht="15.75" customHeight="1">
      <c r="A754" s="94"/>
      <c r="B754" s="87"/>
      <c r="C754" s="87"/>
      <c r="D754" s="87"/>
      <c r="E754" s="87"/>
      <c r="F754" s="87"/>
      <c r="G754" s="87"/>
      <c r="H754" s="87"/>
    </row>
    <row r="755" ht="15.75" customHeight="1">
      <c r="A755" s="96"/>
      <c r="B755" s="83"/>
      <c r="C755" s="83"/>
      <c r="D755" s="83"/>
      <c r="E755" s="83"/>
      <c r="F755" s="83"/>
      <c r="G755" s="83"/>
      <c r="H755" s="83"/>
    </row>
    <row r="756" ht="15.75" customHeight="1">
      <c r="A756" s="94"/>
      <c r="B756" s="87"/>
      <c r="C756" s="87"/>
      <c r="D756" s="87"/>
      <c r="E756" s="87"/>
      <c r="F756" s="87"/>
      <c r="G756" s="87"/>
      <c r="H756" s="87"/>
    </row>
    <row r="757" ht="15.75" customHeight="1">
      <c r="A757" s="96"/>
      <c r="B757" s="83"/>
      <c r="C757" s="83"/>
      <c r="D757" s="83"/>
      <c r="E757" s="83"/>
      <c r="F757" s="83"/>
      <c r="G757" s="83"/>
      <c r="H757" s="83"/>
    </row>
    <row r="758" ht="15.75" customHeight="1">
      <c r="A758" s="94"/>
      <c r="B758" s="87"/>
      <c r="C758" s="87"/>
      <c r="D758" s="87"/>
      <c r="E758" s="87"/>
      <c r="F758" s="87"/>
      <c r="G758" s="87"/>
      <c r="H758" s="87"/>
    </row>
    <row r="759" ht="15.75" customHeight="1">
      <c r="A759" s="96"/>
      <c r="B759" s="83"/>
      <c r="C759" s="83"/>
      <c r="D759" s="83"/>
      <c r="E759" s="83"/>
      <c r="F759" s="83"/>
      <c r="G759" s="83"/>
      <c r="H759" s="83"/>
    </row>
    <row r="760" ht="15.75" customHeight="1">
      <c r="A760" s="94"/>
      <c r="B760" s="87"/>
      <c r="C760" s="87"/>
      <c r="D760" s="87"/>
      <c r="E760" s="87"/>
      <c r="F760" s="87"/>
      <c r="G760" s="87"/>
      <c r="H760" s="87"/>
    </row>
    <row r="761" ht="15.75" customHeight="1">
      <c r="A761" s="96"/>
      <c r="B761" s="83"/>
      <c r="C761" s="83"/>
      <c r="D761" s="83"/>
      <c r="E761" s="83"/>
      <c r="F761" s="83"/>
      <c r="G761" s="83"/>
      <c r="H761" s="83"/>
    </row>
    <row r="762" ht="15.75" customHeight="1">
      <c r="A762" s="94"/>
      <c r="B762" s="87"/>
      <c r="C762" s="87"/>
      <c r="D762" s="87"/>
      <c r="E762" s="87"/>
      <c r="F762" s="87"/>
      <c r="G762" s="87"/>
      <c r="H762" s="87"/>
    </row>
    <row r="763" ht="15.75" customHeight="1">
      <c r="A763" s="96"/>
      <c r="B763" s="83"/>
      <c r="C763" s="83"/>
      <c r="D763" s="83"/>
      <c r="E763" s="83"/>
      <c r="F763" s="83"/>
      <c r="G763" s="83"/>
      <c r="H763" s="83"/>
    </row>
    <row r="764" ht="15.75" customHeight="1">
      <c r="A764" s="94"/>
      <c r="B764" s="87"/>
      <c r="C764" s="87"/>
      <c r="D764" s="87"/>
      <c r="E764" s="87"/>
      <c r="F764" s="87"/>
      <c r="G764" s="87"/>
      <c r="H764" s="87"/>
    </row>
    <row r="765" ht="15.75" customHeight="1">
      <c r="A765" s="96"/>
      <c r="B765" s="83"/>
      <c r="C765" s="83"/>
      <c r="D765" s="83"/>
      <c r="E765" s="83"/>
      <c r="F765" s="83"/>
      <c r="G765" s="83"/>
      <c r="H765" s="83"/>
    </row>
    <row r="766" ht="15.75" customHeight="1">
      <c r="A766" s="94"/>
      <c r="B766" s="87"/>
      <c r="C766" s="87"/>
      <c r="D766" s="87"/>
      <c r="E766" s="87"/>
      <c r="F766" s="87"/>
      <c r="G766" s="87"/>
      <c r="H766" s="87"/>
    </row>
    <row r="767" ht="15.75" customHeight="1">
      <c r="A767" s="96"/>
      <c r="B767" s="83"/>
      <c r="C767" s="83"/>
      <c r="D767" s="83"/>
      <c r="E767" s="83"/>
      <c r="F767" s="83"/>
      <c r="G767" s="83"/>
      <c r="H767" s="83"/>
    </row>
    <row r="768" ht="15.75" customHeight="1">
      <c r="A768" s="94"/>
      <c r="B768" s="87"/>
      <c r="C768" s="87"/>
      <c r="D768" s="87"/>
      <c r="E768" s="87"/>
      <c r="F768" s="87"/>
      <c r="G768" s="87"/>
      <c r="H768" s="87"/>
    </row>
    <row r="769" ht="15.75" customHeight="1">
      <c r="A769" s="96"/>
      <c r="B769" s="83"/>
      <c r="C769" s="83"/>
      <c r="D769" s="83"/>
      <c r="E769" s="83"/>
      <c r="F769" s="83"/>
      <c r="G769" s="83"/>
      <c r="H769" s="83"/>
    </row>
    <row r="770" ht="15.75" customHeight="1">
      <c r="A770" s="94"/>
      <c r="B770" s="87"/>
      <c r="C770" s="87"/>
      <c r="D770" s="87"/>
      <c r="E770" s="87"/>
      <c r="F770" s="87"/>
      <c r="G770" s="87"/>
      <c r="H770" s="87"/>
    </row>
    <row r="771" ht="15.75" customHeight="1">
      <c r="A771" s="96"/>
      <c r="B771" s="83"/>
      <c r="C771" s="83"/>
      <c r="D771" s="83"/>
      <c r="E771" s="83"/>
      <c r="F771" s="83"/>
      <c r="G771" s="83"/>
      <c r="H771" s="83"/>
    </row>
    <row r="772" ht="15.75" customHeight="1">
      <c r="A772" s="94"/>
      <c r="B772" s="87"/>
      <c r="C772" s="87"/>
      <c r="D772" s="87"/>
      <c r="E772" s="87"/>
      <c r="F772" s="87"/>
      <c r="G772" s="87"/>
      <c r="H772" s="87"/>
    </row>
    <row r="773" ht="15.75" customHeight="1">
      <c r="A773" s="96"/>
      <c r="B773" s="83"/>
      <c r="C773" s="83"/>
      <c r="D773" s="83"/>
      <c r="E773" s="83"/>
      <c r="F773" s="83"/>
      <c r="G773" s="83"/>
      <c r="H773" s="83"/>
    </row>
    <row r="774" ht="15.75" customHeight="1">
      <c r="A774" s="94"/>
      <c r="B774" s="87"/>
      <c r="C774" s="87"/>
      <c r="D774" s="87"/>
      <c r="E774" s="87"/>
      <c r="F774" s="87"/>
      <c r="G774" s="87"/>
      <c r="H774" s="87"/>
    </row>
    <row r="775" ht="15.75" customHeight="1">
      <c r="A775" s="96"/>
      <c r="B775" s="83"/>
      <c r="C775" s="83"/>
      <c r="D775" s="83"/>
      <c r="E775" s="83"/>
      <c r="F775" s="83"/>
      <c r="G775" s="83"/>
      <c r="H775" s="83"/>
    </row>
    <row r="776" ht="15.75" customHeight="1">
      <c r="A776" s="94"/>
      <c r="B776" s="87"/>
      <c r="C776" s="87"/>
      <c r="D776" s="87"/>
      <c r="E776" s="87"/>
      <c r="F776" s="87"/>
      <c r="G776" s="87"/>
      <c r="H776" s="87"/>
    </row>
    <row r="777" ht="15.75" customHeight="1">
      <c r="A777" s="96"/>
      <c r="B777" s="83"/>
      <c r="C777" s="83"/>
      <c r="D777" s="83"/>
      <c r="E777" s="83"/>
      <c r="F777" s="83"/>
      <c r="G777" s="83"/>
      <c r="H777" s="83"/>
    </row>
    <row r="778" ht="15.75" customHeight="1">
      <c r="A778" s="94"/>
      <c r="B778" s="87"/>
      <c r="C778" s="87"/>
      <c r="D778" s="87"/>
      <c r="E778" s="87"/>
      <c r="F778" s="87"/>
      <c r="G778" s="87"/>
      <c r="H778" s="87"/>
    </row>
    <row r="779" ht="15.75" customHeight="1">
      <c r="A779" s="96"/>
      <c r="B779" s="83"/>
      <c r="C779" s="83"/>
      <c r="D779" s="83"/>
      <c r="E779" s="83"/>
      <c r="F779" s="83"/>
      <c r="G779" s="83"/>
      <c r="H779" s="83"/>
    </row>
    <row r="780" ht="15.75" customHeight="1">
      <c r="A780" s="94"/>
      <c r="B780" s="87"/>
      <c r="C780" s="87"/>
      <c r="D780" s="87"/>
      <c r="E780" s="87"/>
      <c r="F780" s="87"/>
      <c r="G780" s="87"/>
      <c r="H780" s="87"/>
    </row>
    <row r="781" ht="15.75" customHeight="1">
      <c r="A781" s="96"/>
      <c r="B781" s="83"/>
      <c r="C781" s="83"/>
      <c r="D781" s="83"/>
      <c r="E781" s="83"/>
      <c r="F781" s="83"/>
      <c r="G781" s="83"/>
      <c r="H781" s="83"/>
    </row>
    <row r="782" ht="15.75" customHeight="1">
      <c r="A782" s="94"/>
      <c r="B782" s="87"/>
      <c r="C782" s="87"/>
      <c r="D782" s="87"/>
      <c r="E782" s="87"/>
      <c r="F782" s="87"/>
      <c r="G782" s="87"/>
      <c r="H782" s="87"/>
    </row>
    <row r="783" ht="15.75" customHeight="1">
      <c r="A783" s="96"/>
      <c r="B783" s="83"/>
      <c r="C783" s="83"/>
      <c r="D783" s="83"/>
      <c r="E783" s="83"/>
      <c r="F783" s="83"/>
      <c r="G783" s="83"/>
      <c r="H783" s="83"/>
    </row>
    <row r="784" ht="15.75" customHeight="1">
      <c r="A784" s="94"/>
      <c r="B784" s="87"/>
      <c r="C784" s="87"/>
      <c r="D784" s="87"/>
      <c r="E784" s="87"/>
      <c r="F784" s="87"/>
      <c r="G784" s="87"/>
      <c r="H784" s="87"/>
    </row>
    <row r="785" ht="15.75" customHeight="1">
      <c r="A785" s="96"/>
      <c r="B785" s="83"/>
      <c r="C785" s="83"/>
      <c r="D785" s="83"/>
      <c r="E785" s="83"/>
      <c r="F785" s="83"/>
      <c r="G785" s="83"/>
      <c r="H785" s="83"/>
    </row>
    <row r="786" ht="15.75" customHeight="1">
      <c r="A786" s="94"/>
      <c r="B786" s="87"/>
      <c r="C786" s="87"/>
      <c r="D786" s="87"/>
      <c r="E786" s="87"/>
      <c r="F786" s="87"/>
      <c r="G786" s="87"/>
      <c r="H786" s="87"/>
    </row>
    <row r="787" ht="15.75" customHeight="1">
      <c r="A787" s="96"/>
      <c r="B787" s="83"/>
      <c r="C787" s="83"/>
      <c r="D787" s="83"/>
      <c r="E787" s="83"/>
      <c r="F787" s="83"/>
      <c r="G787" s="83"/>
      <c r="H787" s="83"/>
    </row>
    <row r="788" ht="15.75" customHeight="1">
      <c r="A788" s="94"/>
      <c r="B788" s="87"/>
      <c r="C788" s="87"/>
      <c r="D788" s="87"/>
      <c r="E788" s="87"/>
      <c r="F788" s="87"/>
      <c r="G788" s="87"/>
      <c r="H788" s="87"/>
    </row>
    <row r="789" ht="15.75" customHeight="1">
      <c r="A789" s="96"/>
      <c r="B789" s="83"/>
      <c r="C789" s="83"/>
      <c r="D789" s="83"/>
      <c r="E789" s="83"/>
      <c r="F789" s="83"/>
      <c r="G789" s="83"/>
      <c r="H789" s="83"/>
    </row>
    <row r="790" ht="15.75" customHeight="1">
      <c r="A790" s="94"/>
      <c r="B790" s="87"/>
      <c r="C790" s="87"/>
      <c r="D790" s="87"/>
      <c r="E790" s="87"/>
      <c r="F790" s="87"/>
      <c r="G790" s="87"/>
      <c r="H790" s="87"/>
    </row>
    <row r="791" ht="15.75" customHeight="1">
      <c r="A791" s="96"/>
      <c r="B791" s="83"/>
      <c r="C791" s="83"/>
      <c r="D791" s="83"/>
      <c r="E791" s="83"/>
      <c r="F791" s="83"/>
      <c r="G791" s="83"/>
      <c r="H791" s="83"/>
    </row>
    <row r="792" ht="15.75" customHeight="1">
      <c r="A792" s="94"/>
      <c r="B792" s="87"/>
      <c r="C792" s="87"/>
      <c r="D792" s="87"/>
      <c r="E792" s="87"/>
      <c r="F792" s="87"/>
      <c r="G792" s="87"/>
      <c r="H792" s="87"/>
    </row>
    <row r="793" ht="15.75" customHeight="1">
      <c r="A793" s="96"/>
      <c r="B793" s="83"/>
      <c r="C793" s="83"/>
      <c r="D793" s="83"/>
      <c r="E793" s="83"/>
      <c r="F793" s="83"/>
      <c r="G793" s="83"/>
      <c r="H793" s="83"/>
    </row>
    <row r="794" ht="15.75" customHeight="1">
      <c r="A794" s="94"/>
      <c r="B794" s="87"/>
      <c r="C794" s="87"/>
      <c r="D794" s="87"/>
      <c r="E794" s="87"/>
      <c r="F794" s="87"/>
      <c r="G794" s="87"/>
      <c r="H794" s="87"/>
    </row>
    <row r="795" ht="15.75" customHeight="1">
      <c r="A795" s="96"/>
      <c r="B795" s="83"/>
      <c r="C795" s="83"/>
      <c r="D795" s="83"/>
      <c r="E795" s="83"/>
      <c r="F795" s="83"/>
      <c r="G795" s="83"/>
      <c r="H795" s="83"/>
    </row>
    <row r="796" ht="15.75" customHeight="1">
      <c r="A796" s="94"/>
      <c r="B796" s="87"/>
      <c r="C796" s="87"/>
      <c r="D796" s="87"/>
      <c r="E796" s="87"/>
      <c r="F796" s="87"/>
      <c r="G796" s="87"/>
      <c r="H796" s="87"/>
    </row>
    <row r="797" ht="15.75" customHeight="1">
      <c r="A797" s="96"/>
      <c r="B797" s="83"/>
      <c r="C797" s="83"/>
      <c r="D797" s="83"/>
      <c r="E797" s="83"/>
      <c r="F797" s="83"/>
      <c r="G797" s="83"/>
      <c r="H797" s="83"/>
    </row>
    <row r="798" ht="15.75" customHeight="1">
      <c r="A798" s="94"/>
      <c r="B798" s="87"/>
      <c r="C798" s="87"/>
      <c r="D798" s="87"/>
      <c r="E798" s="87"/>
      <c r="F798" s="87"/>
      <c r="G798" s="87"/>
      <c r="H798" s="87"/>
    </row>
    <row r="799" ht="15.75" customHeight="1">
      <c r="A799" s="96"/>
      <c r="B799" s="83"/>
      <c r="C799" s="83"/>
      <c r="D799" s="83"/>
      <c r="E799" s="83"/>
      <c r="F799" s="83"/>
      <c r="G799" s="83"/>
      <c r="H799" s="83"/>
    </row>
    <row r="800" ht="15.75" customHeight="1">
      <c r="A800" s="94"/>
      <c r="B800" s="87"/>
      <c r="C800" s="87"/>
      <c r="D800" s="87"/>
      <c r="E800" s="87"/>
      <c r="F800" s="87"/>
      <c r="G800" s="87"/>
      <c r="H800" s="87"/>
    </row>
    <row r="801" ht="15.75" customHeight="1">
      <c r="A801" s="96"/>
      <c r="B801" s="83"/>
      <c r="C801" s="83"/>
      <c r="D801" s="83"/>
      <c r="E801" s="83"/>
      <c r="F801" s="83"/>
      <c r="G801" s="83"/>
      <c r="H801" s="83"/>
    </row>
    <row r="802" ht="15.75" customHeight="1">
      <c r="A802" s="94"/>
      <c r="B802" s="87"/>
      <c r="C802" s="87"/>
      <c r="D802" s="87"/>
      <c r="E802" s="87"/>
      <c r="F802" s="87"/>
      <c r="G802" s="87"/>
      <c r="H802" s="87"/>
    </row>
    <row r="803" ht="15.75" customHeight="1">
      <c r="A803" s="96"/>
      <c r="B803" s="83"/>
      <c r="C803" s="83"/>
      <c r="D803" s="83"/>
      <c r="E803" s="83"/>
      <c r="F803" s="83"/>
      <c r="G803" s="83"/>
      <c r="H803" s="83"/>
    </row>
    <row r="804" ht="15.75" customHeight="1">
      <c r="A804" s="94"/>
      <c r="B804" s="87"/>
      <c r="C804" s="87"/>
      <c r="D804" s="87"/>
      <c r="E804" s="87"/>
      <c r="F804" s="87"/>
      <c r="G804" s="87"/>
      <c r="H804" s="87"/>
    </row>
    <row r="805" ht="15.75" customHeight="1">
      <c r="A805" s="96"/>
      <c r="B805" s="83"/>
      <c r="C805" s="83"/>
      <c r="D805" s="83"/>
      <c r="E805" s="83"/>
      <c r="F805" s="83"/>
      <c r="G805" s="83"/>
      <c r="H805" s="83"/>
    </row>
    <row r="806" ht="15.75" customHeight="1">
      <c r="A806" s="94"/>
      <c r="B806" s="87"/>
      <c r="C806" s="87"/>
      <c r="D806" s="87"/>
      <c r="E806" s="87"/>
      <c r="F806" s="87"/>
      <c r="G806" s="87"/>
      <c r="H806" s="87"/>
    </row>
    <row r="807" ht="15.75" customHeight="1">
      <c r="A807" s="96"/>
      <c r="B807" s="83"/>
      <c r="C807" s="83"/>
      <c r="D807" s="83"/>
      <c r="E807" s="83"/>
      <c r="F807" s="83"/>
      <c r="G807" s="83"/>
      <c r="H807" s="83"/>
    </row>
    <row r="808" ht="15.75" customHeight="1">
      <c r="A808" s="94"/>
      <c r="B808" s="87"/>
      <c r="C808" s="87"/>
      <c r="D808" s="87"/>
      <c r="E808" s="87"/>
      <c r="F808" s="87"/>
      <c r="G808" s="87"/>
      <c r="H808" s="87"/>
    </row>
    <row r="809" ht="15.75" customHeight="1">
      <c r="A809" s="96"/>
      <c r="B809" s="83"/>
      <c r="C809" s="83"/>
      <c r="D809" s="83"/>
      <c r="E809" s="83"/>
      <c r="F809" s="83"/>
      <c r="G809" s="83"/>
      <c r="H809" s="83"/>
    </row>
    <row r="810" ht="15.75" customHeight="1">
      <c r="A810" s="94"/>
      <c r="B810" s="87"/>
      <c r="C810" s="87"/>
      <c r="D810" s="87"/>
      <c r="E810" s="87"/>
      <c r="F810" s="87"/>
      <c r="G810" s="87"/>
      <c r="H810" s="87"/>
    </row>
    <row r="811" ht="15.75" customHeight="1">
      <c r="A811" s="96"/>
      <c r="B811" s="83"/>
      <c r="C811" s="83"/>
      <c r="D811" s="83"/>
      <c r="E811" s="83"/>
      <c r="F811" s="83"/>
      <c r="G811" s="83"/>
      <c r="H811" s="83"/>
    </row>
    <row r="812" ht="15.75" customHeight="1">
      <c r="A812" s="94"/>
      <c r="B812" s="87"/>
      <c r="C812" s="87"/>
      <c r="D812" s="87"/>
      <c r="E812" s="87"/>
      <c r="F812" s="87"/>
      <c r="G812" s="87"/>
      <c r="H812" s="87"/>
    </row>
    <row r="813" ht="15.75" customHeight="1">
      <c r="A813" s="96"/>
      <c r="B813" s="83"/>
      <c r="C813" s="83"/>
      <c r="D813" s="83"/>
      <c r="E813" s="83"/>
      <c r="F813" s="83"/>
      <c r="G813" s="83"/>
      <c r="H813" s="83"/>
    </row>
    <row r="814" ht="15.75" customHeight="1">
      <c r="A814" s="94"/>
      <c r="B814" s="87"/>
      <c r="C814" s="87"/>
      <c r="D814" s="87"/>
      <c r="E814" s="87"/>
      <c r="F814" s="87"/>
      <c r="G814" s="87"/>
      <c r="H814" s="87"/>
    </row>
    <row r="815" ht="15.75" customHeight="1">
      <c r="A815" s="96"/>
      <c r="B815" s="83"/>
      <c r="C815" s="83"/>
      <c r="D815" s="83"/>
      <c r="E815" s="83"/>
      <c r="F815" s="83"/>
      <c r="G815" s="83"/>
      <c r="H815" s="83"/>
    </row>
    <row r="816" ht="15.75" customHeight="1">
      <c r="A816" s="94"/>
      <c r="B816" s="87"/>
      <c r="C816" s="87"/>
      <c r="D816" s="87"/>
      <c r="E816" s="87"/>
      <c r="F816" s="87"/>
      <c r="G816" s="87"/>
      <c r="H816" s="87"/>
    </row>
    <row r="817" ht="15.75" customHeight="1">
      <c r="A817" s="96"/>
      <c r="B817" s="83"/>
      <c r="C817" s="83"/>
      <c r="D817" s="83"/>
      <c r="E817" s="83"/>
      <c r="F817" s="83"/>
      <c r="G817" s="83"/>
      <c r="H817" s="83"/>
    </row>
    <row r="818" ht="15.75" customHeight="1">
      <c r="A818" s="94"/>
      <c r="B818" s="87"/>
      <c r="C818" s="87"/>
      <c r="D818" s="87"/>
      <c r="E818" s="87"/>
      <c r="F818" s="87"/>
      <c r="G818" s="87"/>
      <c r="H818" s="87"/>
    </row>
    <row r="819" ht="15.75" customHeight="1">
      <c r="A819" s="96"/>
      <c r="B819" s="83"/>
      <c r="C819" s="83"/>
      <c r="D819" s="83"/>
      <c r="E819" s="83"/>
      <c r="F819" s="83"/>
      <c r="G819" s="83"/>
      <c r="H819" s="83"/>
    </row>
    <row r="820" ht="15.75" customHeight="1">
      <c r="A820" s="94"/>
      <c r="B820" s="87"/>
      <c r="C820" s="87"/>
      <c r="D820" s="87"/>
      <c r="E820" s="87"/>
      <c r="F820" s="87"/>
      <c r="G820" s="87"/>
      <c r="H820" s="87"/>
    </row>
    <row r="821" ht="15.75" customHeight="1">
      <c r="A821" s="96"/>
      <c r="B821" s="83"/>
      <c r="C821" s="83"/>
      <c r="D821" s="83"/>
      <c r="E821" s="83"/>
      <c r="F821" s="83"/>
      <c r="G821" s="83"/>
      <c r="H821" s="83"/>
    </row>
    <row r="822" ht="15.75" customHeight="1">
      <c r="A822" s="94"/>
      <c r="B822" s="87"/>
      <c r="C822" s="87"/>
      <c r="D822" s="87"/>
      <c r="E822" s="87"/>
      <c r="F822" s="87"/>
      <c r="G822" s="87"/>
      <c r="H822" s="87"/>
    </row>
    <row r="823" ht="15.75" customHeight="1">
      <c r="A823" s="96"/>
      <c r="B823" s="83"/>
      <c r="C823" s="83"/>
      <c r="D823" s="83"/>
      <c r="E823" s="83"/>
      <c r="F823" s="83"/>
      <c r="G823" s="83"/>
      <c r="H823" s="83"/>
    </row>
    <row r="824" ht="15.75" customHeight="1">
      <c r="A824" s="94"/>
      <c r="B824" s="87"/>
      <c r="C824" s="87"/>
      <c r="D824" s="87"/>
      <c r="E824" s="87"/>
      <c r="F824" s="87"/>
      <c r="G824" s="87"/>
      <c r="H824" s="87"/>
    </row>
    <row r="825" ht="15.75" customHeight="1">
      <c r="A825" s="96"/>
      <c r="B825" s="83"/>
      <c r="C825" s="83"/>
      <c r="D825" s="83"/>
      <c r="E825" s="83"/>
      <c r="F825" s="83"/>
      <c r="G825" s="83"/>
      <c r="H825" s="83"/>
    </row>
    <row r="826" ht="15.75" customHeight="1">
      <c r="A826" s="94"/>
      <c r="B826" s="87"/>
      <c r="C826" s="87"/>
      <c r="D826" s="87"/>
      <c r="E826" s="87"/>
      <c r="F826" s="87"/>
      <c r="G826" s="87"/>
      <c r="H826" s="87"/>
    </row>
    <row r="827" ht="15.75" customHeight="1">
      <c r="A827" s="96"/>
      <c r="B827" s="83"/>
      <c r="C827" s="83"/>
      <c r="D827" s="83"/>
      <c r="E827" s="83"/>
      <c r="F827" s="83"/>
      <c r="G827" s="83"/>
      <c r="H827" s="83"/>
    </row>
    <row r="828" ht="15.75" customHeight="1">
      <c r="A828" s="94"/>
      <c r="B828" s="87"/>
      <c r="C828" s="87"/>
      <c r="D828" s="87"/>
      <c r="E828" s="87"/>
      <c r="F828" s="87"/>
      <c r="G828" s="87"/>
      <c r="H828" s="87"/>
    </row>
    <row r="829" ht="15.75" customHeight="1">
      <c r="A829" s="96"/>
      <c r="B829" s="83"/>
      <c r="C829" s="83"/>
      <c r="D829" s="83"/>
      <c r="E829" s="83"/>
      <c r="F829" s="83"/>
      <c r="G829" s="83"/>
      <c r="H829" s="83"/>
    </row>
    <row r="830" ht="15.75" customHeight="1">
      <c r="A830" s="94"/>
      <c r="B830" s="87"/>
      <c r="C830" s="87"/>
      <c r="D830" s="87"/>
      <c r="E830" s="87"/>
      <c r="F830" s="87"/>
      <c r="G830" s="87"/>
      <c r="H830" s="87"/>
    </row>
    <row r="831" ht="15.75" customHeight="1">
      <c r="A831" s="96"/>
      <c r="B831" s="83"/>
      <c r="C831" s="83"/>
      <c r="D831" s="83"/>
      <c r="E831" s="83"/>
      <c r="F831" s="83"/>
      <c r="G831" s="83"/>
      <c r="H831" s="83"/>
    </row>
    <row r="832" ht="15.75" customHeight="1">
      <c r="A832" s="94"/>
      <c r="B832" s="87"/>
      <c r="C832" s="87"/>
      <c r="D832" s="87"/>
      <c r="E832" s="87"/>
      <c r="F832" s="87"/>
      <c r="G832" s="87"/>
      <c r="H832" s="87"/>
    </row>
    <row r="833" ht="15.75" customHeight="1">
      <c r="A833" s="96"/>
      <c r="B833" s="83"/>
      <c r="C833" s="83"/>
      <c r="D833" s="83"/>
      <c r="E833" s="83"/>
      <c r="F833" s="83"/>
      <c r="G833" s="83"/>
      <c r="H833" s="83"/>
    </row>
    <row r="834" ht="15.75" customHeight="1">
      <c r="A834" s="94"/>
      <c r="B834" s="87"/>
      <c r="C834" s="87"/>
      <c r="D834" s="87"/>
      <c r="E834" s="87"/>
      <c r="F834" s="87"/>
      <c r="G834" s="87"/>
      <c r="H834" s="87"/>
    </row>
    <row r="835" ht="15.75" customHeight="1">
      <c r="A835" s="96"/>
      <c r="B835" s="83"/>
      <c r="C835" s="83"/>
      <c r="D835" s="83"/>
      <c r="E835" s="83"/>
      <c r="F835" s="83"/>
      <c r="G835" s="83"/>
      <c r="H835" s="83"/>
    </row>
    <row r="836" ht="15.75" customHeight="1">
      <c r="A836" s="94"/>
      <c r="B836" s="87"/>
      <c r="C836" s="87"/>
      <c r="D836" s="87"/>
      <c r="E836" s="87"/>
      <c r="F836" s="87"/>
      <c r="G836" s="87"/>
      <c r="H836" s="87"/>
    </row>
    <row r="837" ht="15.75" customHeight="1">
      <c r="A837" s="96"/>
      <c r="B837" s="83"/>
      <c r="C837" s="83"/>
      <c r="D837" s="83"/>
      <c r="E837" s="83"/>
      <c r="F837" s="83"/>
      <c r="G837" s="83"/>
      <c r="H837" s="83"/>
    </row>
    <row r="838" ht="15.75" customHeight="1">
      <c r="A838" s="94"/>
      <c r="B838" s="87"/>
      <c r="C838" s="87"/>
      <c r="D838" s="87"/>
      <c r="E838" s="87"/>
      <c r="F838" s="87"/>
      <c r="G838" s="87"/>
      <c r="H838" s="87"/>
    </row>
    <row r="839" ht="15.75" customHeight="1">
      <c r="A839" s="96"/>
      <c r="B839" s="83"/>
      <c r="C839" s="83"/>
      <c r="D839" s="83"/>
      <c r="E839" s="83"/>
      <c r="F839" s="83"/>
      <c r="G839" s="83"/>
      <c r="H839" s="83"/>
    </row>
    <row r="840" ht="15.75" customHeight="1">
      <c r="A840" s="94"/>
      <c r="B840" s="87"/>
      <c r="C840" s="87"/>
      <c r="D840" s="87"/>
      <c r="E840" s="87"/>
      <c r="F840" s="87"/>
      <c r="G840" s="87"/>
      <c r="H840" s="87"/>
    </row>
    <row r="841" ht="15.75" customHeight="1">
      <c r="A841" s="96"/>
      <c r="B841" s="83"/>
      <c r="C841" s="83"/>
      <c r="D841" s="83"/>
      <c r="E841" s="83"/>
      <c r="F841" s="83"/>
      <c r="G841" s="83"/>
      <c r="H841" s="83"/>
    </row>
    <row r="842" ht="15.75" customHeight="1">
      <c r="A842" s="94"/>
      <c r="B842" s="87"/>
      <c r="C842" s="87"/>
      <c r="D842" s="87"/>
      <c r="E842" s="87"/>
      <c r="F842" s="87"/>
      <c r="G842" s="87"/>
      <c r="H842" s="87"/>
    </row>
    <row r="843" ht="15.75" customHeight="1">
      <c r="A843" s="96"/>
      <c r="B843" s="83"/>
      <c r="C843" s="83"/>
      <c r="D843" s="83"/>
      <c r="E843" s="83"/>
      <c r="F843" s="83"/>
      <c r="G843" s="83"/>
      <c r="H843" s="83"/>
    </row>
    <row r="844" ht="15.75" customHeight="1">
      <c r="A844" s="94"/>
      <c r="B844" s="87"/>
      <c r="C844" s="87"/>
      <c r="D844" s="87"/>
      <c r="E844" s="87"/>
      <c r="F844" s="87"/>
      <c r="G844" s="87"/>
      <c r="H844" s="87"/>
    </row>
    <row r="845" ht="15.75" customHeight="1">
      <c r="A845" s="96"/>
      <c r="B845" s="83"/>
      <c r="C845" s="83"/>
      <c r="D845" s="83"/>
      <c r="E845" s="83"/>
      <c r="F845" s="83"/>
      <c r="G845" s="83"/>
      <c r="H845" s="83"/>
    </row>
    <row r="846" ht="15.75" customHeight="1">
      <c r="A846" s="94"/>
      <c r="B846" s="87"/>
      <c r="C846" s="87"/>
      <c r="D846" s="87"/>
      <c r="E846" s="87"/>
      <c r="F846" s="87"/>
      <c r="G846" s="87"/>
      <c r="H846" s="87"/>
    </row>
    <row r="847" ht="15.75" customHeight="1">
      <c r="A847" s="96"/>
      <c r="B847" s="83"/>
      <c r="C847" s="83"/>
      <c r="D847" s="83"/>
      <c r="E847" s="83"/>
      <c r="F847" s="83"/>
      <c r="G847" s="83"/>
      <c r="H847" s="83"/>
    </row>
    <row r="848" ht="15.75" customHeight="1">
      <c r="A848" s="94"/>
      <c r="B848" s="87"/>
      <c r="C848" s="87"/>
      <c r="D848" s="87"/>
      <c r="E848" s="87"/>
      <c r="F848" s="87"/>
      <c r="G848" s="87"/>
      <c r="H848" s="87"/>
    </row>
    <row r="849" ht="15.75" customHeight="1">
      <c r="A849" s="96"/>
      <c r="B849" s="83"/>
      <c r="C849" s="83"/>
      <c r="D849" s="83"/>
      <c r="E849" s="83"/>
      <c r="F849" s="83"/>
      <c r="G849" s="83"/>
      <c r="H849" s="83"/>
    </row>
    <row r="850" ht="15.75" customHeight="1">
      <c r="A850" s="94"/>
      <c r="B850" s="87"/>
      <c r="C850" s="87"/>
      <c r="D850" s="87"/>
      <c r="E850" s="87"/>
      <c r="F850" s="87"/>
      <c r="G850" s="87"/>
      <c r="H850" s="87"/>
    </row>
    <row r="851" ht="15.75" customHeight="1">
      <c r="A851" s="96"/>
      <c r="B851" s="83"/>
      <c r="C851" s="83"/>
      <c r="D851" s="83"/>
      <c r="E851" s="83"/>
      <c r="F851" s="83"/>
      <c r="G851" s="83"/>
      <c r="H851" s="83"/>
    </row>
    <row r="852" ht="15.75" customHeight="1">
      <c r="A852" s="94"/>
      <c r="B852" s="87"/>
      <c r="C852" s="87"/>
      <c r="D852" s="87"/>
      <c r="E852" s="87"/>
      <c r="F852" s="87"/>
      <c r="G852" s="87"/>
      <c r="H852" s="87"/>
    </row>
    <row r="853" ht="15.75" customHeight="1">
      <c r="A853" s="96"/>
      <c r="B853" s="83"/>
      <c r="C853" s="83"/>
      <c r="D853" s="83"/>
      <c r="E853" s="83"/>
      <c r="F853" s="83"/>
      <c r="G853" s="83"/>
      <c r="H853" s="83"/>
    </row>
    <row r="854" ht="15.75" customHeight="1">
      <c r="A854" s="94"/>
      <c r="B854" s="87"/>
      <c r="C854" s="87"/>
      <c r="D854" s="87"/>
      <c r="E854" s="87"/>
      <c r="F854" s="87"/>
      <c r="G854" s="87"/>
      <c r="H854" s="87"/>
    </row>
    <row r="855" ht="15.75" customHeight="1">
      <c r="A855" s="96"/>
      <c r="B855" s="83"/>
      <c r="C855" s="83"/>
      <c r="D855" s="83"/>
      <c r="E855" s="83"/>
      <c r="F855" s="83"/>
      <c r="G855" s="83"/>
      <c r="H855" s="83"/>
    </row>
    <row r="856" ht="15.75" customHeight="1">
      <c r="A856" s="94"/>
      <c r="B856" s="87"/>
      <c r="C856" s="87"/>
      <c r="D856" s="87"/>
      <c r="E856" s="87"/>
      <c r="F856" s="87"/>
      <c r="G856" s="87"/>
      <c r="H856" s="87"/>
    </row>
    <row r="857" ht="15.75" customHeight="1">
      <c r="A857" s="96"/>
      <c r="B857" s="83"/>
      <c r="C857" s="83"/>
      <c r="D857" s="83"/>
      <c r="E857" s="83"/>
      <c r="F857" s="83"/>
      <c r="G857" s="83"/>
      <c r="H857" s="83"/>
    </row>
    <row r="858" ht="15.75" customHeight="1">
      <c r="A858" s="94"/>
      <c r="B858" s="87"/>
      <c r="C858" s="87"/>
      <c r="D858" s="87"/>
      <c r="E858" s="87"/>
      <c r="F858" s="87"/>
      <c r="G858" s="87"/>
      <c r="H858" s="87"/>
    </row>
    <row r="859" ht="15.75" customHeight="1">
      <c r="A859" s="96"/>
      <c r="B859" s="83"/>
      <c r="C859" s="83"/>
      <c r="D859" s="83"/>
      <c r="E859" s="83"/>
      <c r="F859" s="83"/>
      <c r="G859" s="83"/>
      <c r="H859" s="83"/>
    </row>
    <row r="860" ht="15.75" customHeight="1">
      <c r="A860" s="94"/>
      <c r="B860" s="87"/>
      <c r="C860" s="87"/>
      <c r="D860" s="87"/>
      <c r="E860" s="87"/>
      <c r="F860" s="87"/>
      <c r="G860" s="87"/>
      <c r="H860" s="87"/>
    </row>
    <row r="861" ht="15.75" customHeight="1">
      <c r="A861" s="96"/>
      <c r="B861" s="83"/>
      <c r="C861" s="83"/>
      <c r="D861" s="83"/>
      <c r="E861" s="83"/>
      <c r="F861" s="83"/>
      <c r="G861" s="83"/>
      <c r="H861" s="83"/>
    </row>
    <row r="862" ht="15.75" customHeight="1">
      <c r="A862" s="94"/>
      <c r="B862" s="87"/>
      <c r="C862" s="87"/>
      <c r="D862" s="87"/>
      <c r="E862" s="87"/>
      <c r="F862" s="87"/>
      <c r="G862" s="87"/>
      <c r="H862" s="87"/>
    </row>
    <row r="863" ht="15.75" customHeight="1">
      <c r="A863" s="96"/>
      <c r="B863" s="83"/>
      <c r="C863" s="83"/>
      <c r="D863" s="83"/>
      <c r="E863" s="83"/>
      <c r="F863" s="83"/>
      <c r="G863" s="83"/>
      <c r="H863" s="83"/>
    </row>
    <row r="864" ht="15.75" customHeight="1">
      <c r="A864" s="94"/>
      <c r="B864" s="87"/>
      <c r="C864" s="87"/>
      <c r="D864" s="87"/>
      <c r="E864" s="87"/>
      <c r="F864" s="87"/>
      <c r="G864" s="87"/>
      <c r="H864" s="87"/>
    </row>
    <row r="865" ht="15.75" customHeight="1">
      <c r="A865" s="96"/>
      <c r="B865" s="83"/>
      <c r="C865" s="83"/>
      <c r="D865" s="83"/>
      <c r="E865" s="83"/>
      <c r="F865" s="83"/>
      <c r="G865" s="83"/>
      <c r="H865" s="83"/>
    </row>
    <row r="866" ht="15.75" customHeight="1">
      <c r="A866" s="94"/>
      <c r="B866" s="87"/>
      <c r="C866" s="87"/>
      <c r="D866" s="87"/>
      <c r="E866" s="87"/>
      <c r="F866" s="87"/>
      <c r="G866" s="87"/>
      <c r="H866" s="87"/>
    </row>
    <row r="867" ht="15.75" customHeight="1">
      <c r="A867" s="96"/>
      <c r="B867" s="83"/>
      <c r="C867" s="83"/>
      <c r="D867" s="83"/>
      <c r="E867" s="83"/>
      <c r="F867" s="83"/>
      <c r="G867" s="83"/>
      <c r="H867" s="83"/>
    </row>
    <row r="868" ht="15.75" customHeight="1">
      <c r="A868" s="94"/>
      <c r="B868" s="87"/>
      <c r="C868" s="87"/>
      <c r="D868" s="87"/>
      <c r="E868" s="87"/>
      <c r="F868" s="87"/>
      <c r="G868" s="87"/>
      <c r="H868" s="87"/>
    </row>
    <row r="869" ht="15.75" customHeight="1">
      <c r="A869" s="96"/>
      <c r="B869" s="83"/>
      <c r="C869" s="83"/>
      <c r="D869" s="83"/>
      <c r="E869" s="83"/>
      <c r="F869" s="83"/>
      <c r="G869" s="83"/>
      <c r="H869" s="83"/>
    </row>
    <row r="870" ht="15.75" customHeight="1">
      <c r="A870" s="94"/>
      <c r="B870" s="87"/>
      <c r="C870" s="87"/>
      <c r="D870" s="87"/>
      <c r="E870" s="87"/>
      <c r="F870" s="87"/>
      <c r="G870" s="87"/>
      <c r="H870" s="87"/>
    </row>
    <row r="871" ht="15.75" customHeight="1">
      <c r="A871" s="96"/>
      <c r="B871" s="83"/>
      <c r="C871" s="83"/>
      <c r="D871" s="83"/>
      <c r="E871" s="83"/>
      <c r="F871" s="83"/>
      <c r="G871" s="83"/>
      <c r="H871" s="83"/>
    </row>
    <row r="872" ht="15.75" customHeight="1">
      <c r="A872" s="94"/>
      <c r="B872" s="87"/>
      <c r="C872" s="87"/>
      <c r="D872" s="87"/>
      <c r="E872" s="87"/>
      <c r="F872" s="87"/>
      <c r="G872" s="87"/>
      <c r="H872" s="87"/>
    </row>
    <row r="873" ht="15.75" customHeight="1">
      <c r="A873" s="96"/>
      <c r="B873" s="83"/>
      <c r="C873" s="83"/>
      <c r="D873" s="83"/>
      <c r="E873" s="83"/>
      <c r="F873" s="83"/>
      <c r="G873" s="83"/>
      <c r="H873" s="83"/>
    </row>
    <row r="874" ht="15.75" customHeight="1">
      <c r="A874" s="94"/>
      <c r="B874" s="87"/>
      <c r="C874" s="87"/>
      <c r="D874" s="87"/>
      <c r="E874" s="87"/>
      <c r="F874" s="87"/>
      <c r="G874" s="87"/>
      <c r="H874" s="87"/>
    </row>
    <row r="875" ht="15.75" customHeight="1">
      <c r="A875" s="96"/>
      <c r="B875" s="83"/>
      <c r="C875" s="83"/>
      <c r="D875" s="83"/>
      <c r="E875" s="83"/>
      <c r="F875" s="83"/>
      <c r="G875" s="83"/>
      <c r="H875" s="83"/>
    </row>
    <row r="876" ht="15.75" customHeight="1">
      <c r="A876" s="94"/>
      <c r="B876" s="87"/>
      <c r="C876" s="87"/>
      <c r="D876" s="87"/>
      <c r="E876" s="87"/>
      <c r="F876" s="87"/>
      <c r="G876" s="87"/>
      <c r="H876" s="87"/>
    </row>
    <row r="877" ht="15.75" customHeight="1">
      <c r="A877" s="96"/>
      <c r="B877" s="83"/>
      <c r="C877" s="83"/>
      <c r="D877" s="83"/>
      <c r="E877" s="83"/>
      <c r="F877" s="83"/>
      <c r="G877" s="83"/>
      <c r="H877" s="83"/>
    </row>
    <row r="878" ht="15.75" customHeight="1">
      <c r="A878" s="94"/>
      <c r="B878" s="87"/>
      <c r="C878" s="87"/>
      <c r="D878" s="87"/>
      <c r="E878" s="87"/>
      <c r="F878" s="87"/>
      <c r="G878" s="87"/>
      <c r="H878" s="87"/>
    </row>
    <row r="879" ht="15.75" customHeight="1">
      <c r="A879" s="96"/>
      <c r="B879" s="83"/>
      <c r="C879" s="83"/>
      <c r="D879" s="83"/>
      <c r="E879" s="83"/>
      <c r="F879" s="83"/>
      <c r="G879" s="83"/>
      <c r="H879" s="83"/>
    </row>
    <row r="880" ht="15.75" customHeight="1">
      <c r="A880" s="94"/>
      <c r="B880" s="87"/>
      <c r="C880" s="87"/>
      <c r="D880" s="87"/>
      <c r="E880" s="87"/>
      <c r="F880" s="87"/>
      <c r="G880" s="87"/>
      <c r="H880" s="87"/>
    </row>
    <row r="881" ht="15.75" customHeight="1">
      <c r="A881" s="96"/>
      <c r="B881" s="83"/>
      <c r="C881" s="83"/>
      <c r="D881" s="83"/>
      <c r="E881" s="83"/>
      <c r="F881" s="83"/>
      <c r="G881" s="83"/>
      <c r="H881" s="83"/>
    </row>
    <row r="882" ht="15.75" customHeight="1">
      <c r="A882" s="94"/>
      <c r="B882" s="87"/>
      <c r="C882" s="87"/>
      <c r="D882" s="87"/>
      <c r="E882" s="87"/>
      <c r="F882" s="87"/>
      <c r="G882" s="87"/>
      <c r="H882" s="87"/>
    </row>
    <row r="883" ht="15.75" customHeight="1">
      <c r="A883" s="96"/>
      <c r="B883" s="83"/>
      <c r="C883" s="83"/>
      <c r="D883" s="83"/>
      <c r="E883" s="83"/>
      <c r="F883" s="83"/>
      <c r="G883" s="83"/>
      <c r="H883" s="83"/>
    </row>
    <row r="884" ht="15.75" customHeight="1">
      <c r="A884" s="94"/>
      <c r="B884" s="87"/>
      <c r="C884" s="87"/>
      <c r="D884" s="87"/>
      <c r="E884" s="87"/>
      <c r="F884" s="87"/>
      <c r="G884" s="87"/>
      <c r="H884" s="87"/>
    </row>
    <row r="885" ht="15.75" customHeight="1">
      <c r="A885" s="96"/>
      <c r="B885" s="83"/>
      <c r="C885" s="83"/>
      <c r="D885" s="83"/>
      <c r="E885" s="83"/>
      <c r="F885" s="83"/>
      <c r="G885" s="83"/>
      <c r="H885" s="83"/>
    </row>
    <row r="886" ht="15.75" customHeight="1">
      <c r="A886" s="94"/>
      <c r="B886" s="87"/>
      <c r="C886" s="87"/>
      <c r="D886" s="87"/>
      <c r="E886" s="87"/>
      <c r="F886" s="87"/>
      <c r="G886" s="87"/>
      <c r="H886" s="87"/>
    </row>
    <row r="887" ht="15.75" customHeight="1">
      <c r="A887" s="96"/>
      <c r="B887" s="83"/>
      <c r="C887" s="83"/>
      <c r="D887" s="83"/>
      <c r="E887" s="83"/>
      <c r="F887" s="83"/>
      <c r="G887" s="83"/>
      <c r="H887" s="83"/>
    </row>
    <row r="888" ht="15.75" customHeight="1">
      <c r="A888" s="94"/>
      <c r="B888" s="87"/>
      <c r="C888" s="87"/>
      <c r="D888" s="87"/>
      <c r="E888" s="87"/>
      <c r="F888" s="87"/>
      <c r="G888" s="87"/>
      <c r="H888" s="87"/>
    </row>
    <row r="889" ht="15.75" customHeight="1">
      <c r="A889" s="96"/>
      <c r="B889" s="83"/>
      <c r="C889" s="83"/>
      <c r="D889" s="83"/>
      <c r="E889" s="83"/>
      <c r="F889" s="83"/>
      <c r="G889" s="83"/>
      <c r="H889" s="83"/>
    </row>
    <row r="890" ht="15.75" customHeight="1">
      <c r="A890" s="94"/>
      <c r="B890" s="87"/>
      <c r="C890" s="87"/>
      <c r="D890" s="87"/>
      <c r="E890" s="87"/>
      <c r="F890" s="87"/>
      <c r="G890" s="87"/>
      <c r="H890" s="87"/>
    </row>
    <row r="891" ht="15.75" customHeight="1">
      <c r="A891" s="96"/>
      <c r="B891" s="83"/>
      <c r="C891" s="83"/>
      <c r="D891" s="83"/>
      <c r="E891" s="83"/>
      <c r="F891" s="83"/>
      <c r="G891" s="83"/>
      <c r="H891" s="83"/>
    </row>
    <row r="892" ht="15.75" customHeight="1">
      <c r="A892" s="94"/>
      <c r="B892" s="87"/>
      <c r="C892" s="87"/>
      <c r="D892" s="87"/>
      <c r="E892" s="87"/>
      <c r="F892" s="87"/>
      <c r="G892" s="87"/>
      <c r="H892" s="87"/>
    </row>
    <row r="893" ht="15.75" customHeight="1">
      <c r="A893" s="96"/>
      <c r="B893" s="83"/>
      <c r="C893" s="83"/>
      <c r="D893" s="83"/>
      <c r="E893" s="83"/>
      <c r="F893" s="83"/>
      <c r="G893" s="83"/>
      <c r="H893" s="83"/>
    </row>
    <row r="894" ht="15.75" customHeight="1">
      <c r="A894" s="94"/>
      <c r="B894" s="87"/>
      <c r="C894" s="87"/>
      <c r="D894" s="87"/>
      <c r="E894" s="87"/>
      <c r="F894" s="87"/>
      <c r="G894" s="87"/>
      <c r="H894" s="87"/>
    </row>
    <row r="895" ht="15.75" customHeight="1">
      <c r="A895" s="96"/>
      <c r="B895" s="83"/>
      <c r="C895" s="83"/>
      <c r="D895" s="83"/>
      <c r="E895" s="83"/>
      <c r="F895" s="83"/>
      <c r="G895" s="83"/>
      <c r="H895" s="83"/>
    </row>
    <row r="896" ht="15.75" customHeight="1">
      <c r="A896" s="94"/>
      <c r="B896" s="87"/>
      <c r="C896" s="87"/>
      <c r="D896" s="87"/>
      <c r="E896" s="87"/>
      <c r="F896" s="87"/>
      <c r="G896" s="87"/>
      <c r="H896" s="87"/>
    </row>
    <row r="897" ht="15.75" customHeight="1">
      <c r="A897" s="96"/>
      <c r="B897" s="83"/>
      <c r="C897" s="83"/>
      <c r="D897" s="83"/>
      <c r="E897" s="83"/>
      <c r="F897" s="83"/>
      <c r="G897" s="83"/>
      <c r="H897" s="83"/>
    </row>
    <row r="898" ht="15.75" customHeight="1">
      <c r="A898" s="94"/>
      <c r="B898" s="87"/>
      <c r="C898" s="87"/>
      <c r="D898" s="87"/>
      <c r="E898" s="87"/>
      <c r="F898" s="87"/>
      <c r="G898" s="87"/>
      <c r="H898" s="87"/>
    </row>
    <row r="899" ht="15.75" customHeight="1">
      <c r="A899" s="96"/>
      <c r="B899" s="83"/>
      <c r="C899" s="83"/>
      <c r="D899" s="83"/>
      <c r="E899" s="83"/>
      <c r="F899" s="83"/>
      <c r="G899" s="83"/>
      <c r="H899" s="83"/>
    </row>
    <row r="900" ht="15.75" customHeight="1">
      <c r="A900" s="94"/>
      <c r="B900" s="87"/>
      <c r="C900" s="87"/>
      <c r="D900" s="87"/>
      <c r="E900" s="87"/>
      <c r="F900" s="87"/>
      <c r="G900" s="87"/>
      <c r="H900" s="87"/>
    </row>
    <row r="901" ht="15.75" customHeight="1">
      <c r="A901" s="96"/>
      <c r="B901" s="83"/>
      <c r="C901" s="83"/>
      <c r="D901" s="83"/>
      <c r="E901" s="83"/>
      <c r="F901" s="83"/>
      <c r="G901" s="83"/>
      <c r="H901" s="83"/>
    </row>
    <row r="902" ht="15.75" customHeight="1">
      <c r="A902" s="94"/>
      <c r="B902" s="87"/>
      <c r="C902" s="87"/>
      <c r="D902" s="87"/>
      <c r="E902" s="87"/>
      <c r="F902" s="87"/>
      <c r="G902" s="87"/>
      <c r="H902" s="87"/>
    </row>
    <row r="903" ht="15.75" customHeight="1">
      <c r="A903" s="96"/>
      <c r="B903" s="83"/>
      <c r="C903" s="83"/>
      <c r="D903" s="83"/>
      <c r="E903" s="83"/>
      <c r="F903" s="83"/>
      <c r="G903" s="83"/>
      <c r="H903" s="83"/>
    </row>
    <row r="904" ht="15.75" customHeight="1">
      <c r="A904" s="94"/>
      <c r="B904" s="87"/>
      <c r="C904" s="87"/>
      <c r="D904" s="87"/>
      <c r="E904" s="87"/>
      <c r="F904" s="87"/>
      <c r="G904" s="87"/>
      <c r="H904" s="87"/>
    </row>
    <row r="905" ht="15.75" customHeight="1">
      <c r="A905" s="96"/>
      <c r="B905" s="83"/>
      <c r="C905" s="83"/>
      <c r="D905" s="83"/>
      <c r="E905" s="83"/>
      <c r="F905" s="83"/>
      <c r="G905" s="83"/>
      <c r="H905" s="83"/>
    </row>
    <row r="906" ht="15.75" customHeight="1">
      <c r="A906" s="94"/>
      <c r="B906" s="87"/>
      <c r="C906" s="87"/>
      <c r="D906" s="87"/>
      <c r="E906" s="87"/>
      <c r="F906" s="87"/>
      <c r="G906" s="87"/>
      <c r="H906" s="87"/>
    </row>
    <row r="907" ht="15.75" customHeight="1">
      <c r="A907" s="96"/>
      <c r="B907" s="83"/>
      <c r="C907" s="83"/>
      <c r="D907" s="83"/>
      <c r="E907" s="83"/>
      <c r="F907" s="83"/>
      <c r="G907" s="83"/>
      <c r="H907" s="83"/>
    </row>
    <row r="908" ht="15.75" customHeight="1">
      <c r="A908" s="94"/>
      <c r="B908" s="87"/>
      <c r="C908" s="87"/>
      <c r="D908" s="87"/>
      <c r="E908" s="87"/>
      <c r="F908" s="87"/>
      <c r="G908" s="87"/>
      <c r="H908" s="87"/>
    </row>
    <row r="909" ht="15.75" customHeight="1">
      <c r="A909" s="96"/>
      <c r="B909" s="83"/>
      <c r="C909" s="83"/>
      <c r="D909" s="83"/>
      <c r="E909" s="83"/>
      <c r="F909" s="83"/>
      <c r="G909" s="83"/>
      <c r="H909" s="83"/>
    </row>
    <row r="910" ht="15.75" customHeight="1">
      <c r="A910" s="94"/>
      <c r="B910" s="87"/>
      <c r="C910" s="87"/>
      <c r="D910" s="87"/>
      <c r="E910" s="87"/>
      <c r="F910" s="87"/>
      <c r="G910" s="87"/>
      <c r="H910" s="87"/>
    </row>
    <row r="911" ht="15.75" customHeight="1">
      <c r="A911" s="96"/>
      <c r="B911" s="83"/>
      <c r="C911" s="83"/>
      <c r="D911" s="83"/>
      <c r="E911" s="83"/>
      <c r="F911" s="83"/>
      <c r="G911" s="83"/>
      <c r="H911" s="83"/>
    </row>
    <row r="912" ht="15.75" customHeight="1">
      <c r="A912" s="94"/>
      <c r="B912" s="87"/>
      <c r="C912" s="87"/>
      <c r="D912" s="87"/>
      <c r="E912" s="87"/>
      <c r="F912" s="87"/>
      <c r="G912" s="87"/>
      <c r="H912" s="87"/>
    </row>
    <row r="913" ht="15.75" customHeight="1">
      <c r="A913" s="96"/>
      <c r="B913" s="83"/>
      <c r="C913" s="83"/>
      <c r="D913" s="83"/>
      <c r="E913" s="83"/>
      <c r="F913" s="83"/>
      <c r="G913" s="83"/>
      <c r="H913" s="83"/>
    </row>
    <row r="914" ht="15.75" customHeight="1">
      <c r="A914" s="94"/>
      <c r="B914" s="87"/>
      <c r="C914" s="87"/>
      <c r="D914" s="87"/>
      <c r="E914" s="87"/>
      <c r="F914" s="87"/>
      <c r="G914" s="87"/>
      <c r="H914" s="87"/>
    </row>
    <row r="915" ht="15.75" customHeight="1">
      <c r="A915" s="96"/>
      <c r="B915" s="83"/>
      <c r="C915" s="83"/>
      <c r="D915" s="83"/>
      <c r="E915" s="83"/>
      <c r="F915" s="83"/>
      <c r="G915" s="83"/>
      <c r="H915" s="83"/>
    </row>
    <row r="916" ht="15.75" customHeight="1">
      <c r="A916" s="94"/>
      <c r="B916" s="87"/>
      <c r="C916" s="87"/>
      <c r="D916" s="87"/>
      <c r="E916" s="87"/>
      <c r="F916" s="87"/>
      <c r="G916" s="87"/>
      <c r="H916" s="87"/>
    </row>
    <row r="917" ht="15.75" customHeight="1">
      <c r="A917" s="96"/>
      <c r="B917" s="83"/>
      <c r="C917" s="83"/>
      <c r="D917" s="83"/>
      <c r="E917" s="83"/>
      <c r="F917" s="83"/>
      <c r="G917" s="83"/>
      <c r="H917" s="83"/>
    </row>
    <row r="918" ht="15.75" customHeight="1">
      <c r="A918" s="94"/>
      <c r="B918" s="87"/>
      <c r="C918" s="87"/>
      <c r="D918" s="87"/>
      <c r="E918" s="87"/>
      <c r="F918" s="87"/>
      <c r="G918" s="87"/>
      <c r="H918" s="87"/>
    </row>
    <row r="919" ht="15.75" customHeight="1">
      <c r="A919" s="96"/>
      <c r="B919" s="83"/>
      <c r="C919" s="83"/>
      <c r="D919" s="83"/>
      <c r="E919" s="83"/>
      <c r="F919" s="83"/>
      <c r="G919" s="83"/>
      <c r="H919" s="83"/>
    </row>
    <row r="920" ht="15.75" customHeight="1">
      <c r="A920" s="94"/>
      <c r="B920" s="87"/>
      <c r="C920" s="87"/>
      <c r="D920" s="87"/>
      <c r="E920" s="87"/>
      <c r="F920" s="87"/>
      <c r="G920" s="87"/>
      <c r="H920" s="87"/>
    </row>
    <row r="921" ht="15.75" customHeight="1">
      <c r="A921" s="96"/>
      <c r="B921" s="83"/>
      <c r="C921" s="83"/>
      <c r="D921" s="83"/>
      <c r="E921" s="83"/>
      <c r="F921" s="83"/>
      <c r="G921" s="83"/>
      <c r="H921" s="83"/>
    </row>
    <row r="922" ht="15.75" customHeight="1">
      <c r="A922" s="94"/>
      <c r="B922" s="87"/>
      <c r="C922" s="87"/>
      <c r="D922" s="87"/>
      <c r="E922" s="87"/>
      <c r="F922" s="87"/>
      <c r="G922" s="87"/>
      <c r="H922" s="87"/>
    </row>
    <row r="923" ht="15.75" customHeight="1">
      <c r="A923" s="96"/>
      <c r="B923" s="83"/>
      <c r="C923" s="83"/>
      <c r="D923" s="83"/>
      <c r="E923" s="83"/>
      <c r="F923" s="83"/>
      <c r="G923" s="83"/>
      <c r="H923" s="83"/>
    </row>
    <row r="924" ht="15.75" customHeight="1">
      <c r="A924" s="94"/>
      <c r="B924" s="87"/>
      <c r="C924" s="87"/>
      <c r="D924" s="87"/>
      <c r="E924" s="87"/>
      <c r="F924" s="87"/>
      <c r="G924" s="87"/>
      <c r="H924" s="87"/>
    </row>
    <row r="925" ht="15.75" customHeight="1">
      <c r="A925" s="96"/>
      <c r="B925" s="83"/>
      <c r="C925" s="83"/>
      <c r="D925" s="83"/>
      <c r="E925" s="83"/>
      <c r="F925" s="83"/>
      <c r="G925" s="83"/>
      <c r="H925" s="83"/>
    </row>
    <row r="926" ht="15.75" customHeight="1">
      <c r="A926" s="94"/>
      <c r="B926" s="87"/>
      <c r="C926" s="87"/>
      <c r="D926" s="87"/>
      <c r="E926" s="87"/>
      <c r="F926" s="87"/>
      <c r="G926" s="87"/>
      <c r="H926" s="87"/>
    </row>
    <row r="927" ht="15.75" customHeight="1">
      <c r="A927" s="96"/>
      <c r="B927" s="83"/>
      <c r="C927" s="83"/>
      <c r="D927" s="83"/>
      <c r="E927" s="83"/>
      <c r="F927" s="83"/>
      <c r="G927" s="83"/>
      <c r="H927" s="83"/>
    </row>
    <row r="928" ht="15.75" customHeight="1">
      <c r="A928" s="94"/>
      <c r="B928" s="87"/>
      <c r="C928" s="87"/>
      <c r="D928" s="87"/>
      <c r="E928" s="87"/>
      <c r="F928" s="87"/>
      <c r="G928" s="87"/>
      <c r="H928" s="87"/>
    </row>
    <row r="929" ht="15.75" customHeight="1">
      <c r="A929" s="96"/>
      <c r="B929" s="83"/>
      <c r="C929" s="83"/>
      <c r="D929" s="83"/>
      <c r="E929" s="83"/>
      <c r="F929" s="83"/>
      <c r="G929" s="83"/>
      <c r="H929" s="83"/>
    </row>
    <row r="930" ht="15.75" customHeight="1">
      <c r="A930" s="94"/>
      <c r="B930" s="87"/>
      <c r="C930" s="87"/>
      <c r="D930" s="87"/>
      <c r="E930" s="87"/>
      <c r="F930" s="87"/>
      <c r="G930" s="87"/>
      <c r="H930" s="87"/>
    </row>
    <row r="931" ht="15.75" customHeight="1">
      <c r="A931" s="96"/>
      <c r="B931" s="83"/>
      <c r="C931" s="83"/>
      <c r="D931" s="83"/>
      <c r="E931" s="83"/>
      <c r="F931" s="83"/>
      <c r="G931" s="83"/>
      <c r="H931" s="83"/>
    </row>
    <row r="932" ht="15.75" customHeight="1">
      <c r="A932" s="94"/>
      <c r="B932" s="87"/>
      <c r="C932" s="87"/>
      <c r="D932" s="87"/>
      <c r="E932" s="87"/>
      <c r="F932" s="87"/>
      <c r="G932" s="87"/>
      <c r="H932" s="87"/>
    </row>
    <row r="933" ht="15.75" customHeight="1">
      <c r="A933" s="96"/>
      <c r="B933" s="83"/>
      <c r="C933" s="83"/>
      <c r="D933" s="83"/>
      <c r="E933" s="83"/>
      <c r="F933" s="83"/>
      <c r="G933" s="83"/>
      <c r="H933" s="83"/>
    </row>
    <row r="934" ht="15.75" customHeight="1">
      <c r="A934" s="94"/>
      <c r="B934" s="87"/>
      <c r="C934" s="87"/>
      <c r="D934" s="87"/>
      <c r="E934" s="87"/>
      <c r="F934" s="87"/>
      <c r="G934" s="87"/>
      <c r="H934" s="87"/>
    </row>
    <row r="935" ht="15.75" customHeight="1">
      <c r="A935" s="96"/>
      <c r="B935" s="83"/>
      <c r="C935" s="83"/>
      <c r="D935" s="83"/>
      <c r="E935" s="83"/>
      <c r="F935" s="83"/>
      <c r="G935" s="83"/>
      <c r="H935" s="83"/>
    </row>
    <row r="936" ht="15.75" customHeight="1">
      <c r="A936" s="94"/>
      <c r="B936" s="87"/>
      <c r="C936" s="87"/>
      <c r="D936" s="87"/>
      <c r="E936" s="87"/>
      <c r="F936" s="87"/>
      <c r="G936" s="87"/>
      <c r="H936" s="87"/>
    </row>
    <row r="937" ht="15.75" customHeight="1">
      <c r="A937" s="96"/>
      <c r="B937" s="83"/>
      <c r="C937" s="83"/>
      <c r="D937" s="83"/>
      <c r="E937" s="83"/>
      <c r="F937" s="83"/>
      <c r="G937" s="83"/>
      <c r="H937" s="83"/>
    </row>
    <row r="938" ht="15.75" customHeight="1">
      <c r="A938" s="94"/>
      <c r="B938" s="87"/>
      <c r="C938" s="87"/>
      <c r="D938" s="87"/>
      <c r="E938" s="87"/>
      <c r="F938" s="87"/>
      <c r="G938" s="87"/>
      <c r="H938" s="87"/>
    </row>
    <row r="939" ht="15.75" customHeight="1">
      <c r="A939" s="96"/>
      <c r="B939" s="83"/>
      <c r="C939" s="83"/>
      <c r="D939" s="83"/>
      <c r="E939" s="83"/>
      <c r="F939" s="83"/>
      <c r="G939" s="83"/>
      <c r="H939" s="83"/>
    </row>
    <row r="940" ht="15.75" customHeight="1">
      <c r="A940" s="94"/>
      <c r="B940" s="87"/>
      <c r="C940" s="87"/>
      <c r="D940" s="87"/>
      <c r="E940" s="87"/>
      <c r="F940" s="87"/>
      <c r="G940" s="87"/>
      <c r="H940" s="87"/>
    </row>
    <row r="941" ht="15.75" customHeight="1">
      <c r="A941" s="96"/>
      <c r="B941" s="83"/>
      <c r="C941" s="83"/>
      <c r="D941" s="83"/>
      <c r="E941" s="83"/>
      <c r="F941" s="83"/>
      <c r="G941" s="83"/>
      <c r="H941" s="83"/>
    </row>
    <row r="942" ht="15.75" customHeight="1">
      <c r="A942" s="94"/>
      <c r="B942" s="87"/>
      <c r="C942" s="87"/>
      <c r="D942" s="87"/>
      <c r="E942" s="87"/>
      <c r="F942" s="87"/>
      <c r="G942" s="87"/>
      <c r="H942" s="87"/>
    </row>
    <row r="943" ht="15.75" customHeight="1">
      <c r="A943" s="96"/>
      <c r="B943" s="83"/>
      <c r="C943" s="83"/>
      <c r="D943" s="83"/>
      <c r="E943" s="83"/>
      <c r="F943" s="83"/>
      <c r="G943" s="83"/>
      <c r="H943" s="83"/>
    </row>
    <row r="944" ht="15.75" customHeight="1">
      <c r="A944" s="94"/>
      <c r="B944" s="87"/>
      <c r="C944" s="87"/>
      <c r="D944" s="87"/>
      <c r="E944" s="87"/>
      <c r="F944" s="87"/>
      <c r="G944" s="87"/>
      <c r="H944" s="87"/>
    </row>
    <row r="945" ht="15.75" customHeight="1">
      <c r="A945" s="96"/>
      <c r="B945" s="83"/>
      <c r="C945" s="83"/>
      <c r="D945" s="83"/>
      <c r="E945" s="83"/>
      <c r="F945" s="83"/>
      <c r="G945" s="83"/>
      <c r="H945" s="83"/>
    </row>
    <row r="946" ht="15.75" customHeight="1">
      <c r="A946" s="94"/>
      <c r="B946" s="87"/>
      <c r="C946" s="87"/>
      <c r="D946" s="87"/>
      <c r="E946" s="87"/>
      <c r="F946" s="87"/>
      <c r="G946" s="87"/>
      <c r="H946" s="87"/>
    </row>
    <row r="947" ht="15.75" customHeight="1">
      <c r="A947" s="96"/>
      <c r="B947" s="83"/>
      <c r="C947" s="83"/>
      <c r="D947" s="83"/>
      <c r="E947" s="83"/>
      <c r="F947" s="83"/>
      <c r="G947" s="83"/>
      <c r="H947" s="83"/>
    </row>
    <row r="948" ht="15.75" customHeight="1">
      <c r="A948" s="94"/>
      <c r="B948" s="87"/>
      <c r="C948" s="87"/>
      <c r="D948" s="87"/>
      <c r="E948" s="87"/>
      <c r="F948" s="87"/>
      <c r="G948" s="87"/>
      <c r="H948" s="87"/>
    </row>
    <row r="949" ht="15.75" customHeight="1">
      <c r="A949" s="96"/>
      <c r="B949" s="83"/>
      <c r="C949" s="83"/>
      <c r="D949" s="83"/>
      <c r="E949" s="83"/>
      <c r="F949" s="83"/>
      <c r="G949" s="83"/>
      <c r="H949" s="83"/>
    </row>
    <row r="950" ht="15.75" customHeight="1">
      <c r="A950" s="94"/>
      <c r="B950" s="87"/>
      <c r="C950" s="87"/>
      <c r="D950" s="87"/>
      <c r="E950" s="87"/>
      <c r="F950" s="87"/>
      <c r="G950" s="87"/>
      <c r="H950" s="87"/>
    </row>
    <row r="951" ht="15.75" customHeight="1">
      <c r="A951" s="96"/>
      <c r="B951" s="83"/>
      <c r="C951" s="83"/>
      <c r="D951" s="83"/>
      <c r="E951" s="83"/>
      <c r="F951" s="83"/>
      <c r="G951" s="83"/>
      <c r="H951" s="83"/>
    </row>
    <row r="952" ht="15.75" customHeight="1">
      <c r="A952" s="94"/>
      <c r="B952" s="87"/>
      <c r="C952" s="87"/>
      <c r="D952" s="87"/>
      <c r="E952" s="87"/>
      <c r="F952" s="87"/>
      <c r="G952" s="87"/>
      <c r="H952" s="87"/>
    </row>
    <row r="953" ht="15.75" customHeight="1">
      <c r="A953" s="96"/>
      <c r="B953" s="83"/>
      <c r="C953" s="83"/>
      <c r="D953" s="83"/>
      <c r="E953" s="83"/>
      <c r="F953" s="83"/>
      <c r="G953" s="83"/>
      <c r="H953" s="83"/>
    </row>
    <row r="954" ht="15.75" customHeight="1">
      <c r="A954" s="94"/>
      <c r="B954" s="87"/>
      <c r="C954" s="87"/>
      <c r="D954" s="87"/>
      <c r="E954" s="87"/>
      <c r="F954" s="87"/>
      <c r="G954" s="87"/>
      <c r="H954" s="87"/>
    </row>
    <row r="955" ht="15.75" customHeight="1">
      <c r="A955" s="96"/>
      <c r="B955" s="83"/>
      <c r="C955" s="83"/>
      <c r="D955" s="83"/>
      <c r="E955" s="83"/>
      <c r="F955" s="83"/>
      <c r="G955" s="83"/>
      <c r="H955" s="83"/>
    </row>
    <row r="956" ht="15.75" customHeight="1">
      <c r="A956" s="94"/>
      <c r="B956" s="87"/>
      <c r="C956" s="87"/>
      <c r="D956" s="87"/>
      <c r="E956" s="87"/>
      <c r="F956" s="87"/>
      <c r="G956" s="87"/>
      <c r="H956" s="87"/>
    </row>
    <row r="957" ht="15.75" customHeight="1">
      <c r="A957" s="96"/>
      <c r="B957" s="83"/>
      <c r="C957" s="83"/>
      <c r="D957" s="83"/>
      <c r="E957" s="83"/>
      <c r="F957" s="83"/>
      <c r="G957" s="83"/>
      <c r="H957" s="83"/>
    </row>
    <row r="958" ht="15.75" customHeight="1">
      <c r="A958" s="94"/>
      <c r="B958" s="87"/>
      <c r="C958" s="87"/>
      <c r="D958" s="87"/>
      <c r="E958" s="87"/>
      <c r="F958" s="87"/>
      <c r="G958" s="87"/>
      <c r="H958" s="87"/>
    </row>
    <row r="959" ht="15.75" customHeight="1">
      <c r="A959" s="96"/>
      <c r="B959" s="83"/>
      <c r="C959" s="83"/>
      <c r="D959" s="83"/>
      <c r="E959" s="83"/>
      <c r="F959" s="83"/>
      <c r="G959" s="83"/>
      <c r="H959" s="83"/>
    </row>
    <row r="960" ht="15.75" customHeight="1">
      <c r="A960" s="94"/>
      <c r="B960" s="87"/>
      <c r="C960" s="87"/>
      <c r="D960" s="87"/>
      <c r="E960" s="87"/>
      <c r="F960" s="87"/>
      <c r="G960" s="87"/>
      <c r="H960" s="87"/>
    </row>
    <row r="961" ht="15.75" customHeight="1">
      <c r="A961" s="96"/>
      <c r="B961" s="83"/>
      <c r="C961" s="83"/>
      <c r="D961" s="83"/>
      <c r="E961" s="83"/>
      <c r="F961" s="83"/>
      <c r="G961" s="83"/>
      <c r="H961" s="83"/>
    </row>
    <row r="962" ht="15.75" customHeight="1">
      <c r="A962" s="94"/>
      <c r="B962" s="87"/>
      <c r="C962" s="87"/>
      <c r="D962" s="87"/>
      <c r="E962" s="87"/>
      <c r="F962" s="87"/>
      <c r="G962" s="87"/>
      <c r="H962" s="87"/>
    </row>
    <row r="963" ht="15.75" customHeight="1">
      <c r="A963" s="96"/>
      <c r="B963" s="83"/>
      <c r="C963" s="83"/>
      <c r="D963" s="83"/>
      <c r="E963" s="83"/>
      <c r="F963" s="83"/>
      <c r="G963" s="83"/>
      <c r="H963" s="83"/>
    </row>
    <row r="964" ht="15.75" customHeight="1">
      <c r="A964" s="94"/>
      <c r="B964" s="87"/>
      <c r="C964" s="87"/>
      <c r="D964" s="87"/>
      <c r="E964" s="87"/>
      <c r="F964" s="87"/>
      <c r="G964" s="87"/>
      <c r="H964" s="87"/>
    </row>
    <row r="965" ht="15.75" customHeight="1">
      <c r="A965" s="96"/>
      <c r="B965" s="83"/>
      <c r="C965" s="83"/>
      <c r="D965" s="83"/>
      <c r="E965" s="83"/>
      <c r="F965" s="83"/>
      <c r="G965" s="83"/>
      <c r="H965" s="83"/>
    </row>
    <row r="966" ht="15.75" customHeight="1">
      <c r="A966" s="94"/>
      <c r="B966" s="87"/>
      <c r="C966" s="87"/>
      <c r="D966" s="87"/>
      <c r="E966" s="87"/>
      <c r="F966" s="87"/>
      <c r="G966" s="87"/>
      <c r="H966" s="87"/>
    </row>
    <row r="967" ht="15.75" customHeight="1">
      <c r="A967" s="96"/>
      <c r="B967" s="83"/>
      <c r="C967" s="83"/>
      <c r="D967" s="83"/>
      <c r="E967" s="83"/>
      <c r="F967" s="83"/>
      <c r="G967" s="83"/>
      <c r="H967" s="83"/>
    </row>
    <row r="968" ht="15.75" customHeight="1">
      <c r="A968" s="94"/>
      <c r="B968" s="87"/>
      <c r="C968" s="87"/>
      <c r="D968" s="87"/>
      <c r="E968" s="87"/>
      <c r="F968" s="87"/>
      <c r="G968" s="87"/>
      <c r="H968" s="87"/>
    </row>
    <row r="969" ht="15.75" customHeight="1">
      <c r="A969" s="96"/>
      <c r="B969" s="83"/>
      <c r="C969" s="83"/>
      <c r="D969" s="83"/>
      <c r="E969" s="83"/>
      <c r="F969" s="83"/>
      <c r="G969" s="83"/>
      <c r="H969" s="83"/>
    </row>
    <row r="970" ht="15.75" customHeight="1">
      <c r="A970" s="94"/>
      <c r="B970" s="87"/>
      <c r="C970" s="87"/>
      <c r="D970" s="87"/>
      <c r="E970" s="87"/>
      <c r="F970" s="87"/>
      <c r="G970" s="87"/>
      <c r="H970" s="87"/>
    </row>
    <row r="971" ht="15.75" customHeight="1">
      <c r="A971" s="96"/>
      <c r="B971" s="83"/>
      <c r="C971" s="83"/>
      <c r="D971" s="83"/>
      <c r="E971" s="83"/>
      <c r="F971" s="83"/>
      <c r="G971" s="83"/>
      <c r="H971" s="83"/>
    </row>
    <row r="972" ht="15.75" customHeight="1">
      <c r="A972" s="94"/>
      <c r="B972" s="87"/>
      <c r="C972" s="87"/>
      <c r="D972" s="87"/>
      <c r="E972" s="87"/>
      <c r="F972" s="87"/>
      <c r="G972" s="87"/>
      <c r="H972" s="87"/>
    </row>
    <row r="973" ht="15.75" customHeight="1">
      <c r="A973" s="96"/>
      <c r="B973" s="83"/>
      <c r="C973" s="83"/>
      <c r="D973" s="83"/>
      <c r="E973" s="83"/>
      <c r="F973" s="83"/>
      <c r="G973" s="83"/>
      <c r="H973" s="83"/>
    </row>
    <row r="974" ht="15.75" customHeight="1">
      <c r="A974" s="94"/>
      <c r="B974" s="87"/>
      <c r="C974" s="87"/>
      <c r="D974" s="87"/>
      <c r="E974" s="87"/>
      <c r="F974" s="87"/>
      <c r="G974" s="87"/>
      <c r="H974" s="87"/>
    </row>
    <row r="975" ht="15.75" customHeight="1">
      <c r="A975" s="96"/>
      <c r="B975" s="83"/>
      <c r="C975" s="83"/>
      <c r="D975" s="83"/>
      <c r="E975" s="83"/>
      <c r="F975" s="83"/>
      <c r="G975" s="83"/>
      <c r="H975" s="83"/>
    </row>
    <row r="976" ht="15.75" customHeight="1">
      <c r="A976" s="94"/>
      <c r="B976" s="87"/>
      <c r="C976" s="87"/>
      <c r="D976" s="87"/>
      <c r="E976" s="87"/>
      <c r="F976" s="87"/>
      <c r="G976" s="87"/>
      <c r="H976" s="87"/>
    </row>
    <row r="977" ht="15.75" customHeight="1">
      <c r="A977" s="96"/>
      <c r="B977" s="83"/>
      <c r="C977" s="83"/>
      <c r="D977" s="83"/>
      <c r="E977" s="83"/>
      <c r="F977" s="83"/>
      <c r="G977" s="83"/>
      <c r="H977" s="83"/>
    </row>
    <row r="978" ht="15.75" customHeight="1">
      <c r="A978" s="94"/>
      <c r="B978" s="87"/>
      <c r="C978" s="87"/>
      <c r="D978" s="87"/>
      <c r="E978" s="87"/>
      <c r="F978" s="87"/>
      <c r="G978" s="87"/>
      <c r="H978" s="87"/>
    </row>
    <row r="979" ht="15.75" customHeight="1">
      <c r="A979" s="96"/>
      <c r="B979" s="83"/>
      <c r="C979" s="83"/>
      <c r="D979" s="83"/>
      <c r="E979" s="83"/>
      <c r="F979" s="83"/>
      <c r="G979" s="83"/>
      <c r="H979" s="83"/>
    </row>
    <row r="980" ht="15.75" customHeight="1">
      <c r="A980" s="94"/>
      <c r="B980" s="87"/>
      <c r="C980" s="87"/>
      <c r="D980" s="87"/>
      <c r="E980" s="87"/>
      <c r="F980" s="87"/>
      <c r="G980" s="87"/>
      <c r="H980" s="87"/>
    </row>
    <row r="981" ht="15.75" customHeight="1">
      <c r="A981" s="96"/>
      <c r="B981" s="83"/>
      <c r="C981" s="83"/>
      <c r="D981" s="83"/>
      <c r="E981" s="83"/>
      <c r="F981" s="83"/>
      <c r="G981" s="83"/>
      <c r="H981" s="83"/>
    </row>
    <row r="982" ht="15.75" customHeight="1">
      <c r="A982" s="94"/>
      <c r="B982" s="87"/>
      <c r="C982" s="87"/>
      <c r="D982" s="87"/>
      <c r="E982" s="87"/>
      <c r="F982" s="87"/>
      <c r="G982" s="87"/>
      <c r="H982" s="87"/>
    </row>
    <row r="983" ht="15.75" customHeight="1">
      <c r="A983" s="96"/>
      <c r="B983" s="83"/>
      <c r="C983" s="83"/>
      <c r="D983" s="83"/>
      <c r="E983" s="83"/>
      <c r="F983" s="83"/>
      <c r="G983" s="83"/>
      <c r="H983" s="83"/>
    </row>
    <row r="984" ht="15.75" customHeight="1">
      <c r="A984" s="94"/>
      <c r="B984" s="87"/>
      <c r="C984" s="87"/>
      <c r="D984" s="87"/>
      <c r="E984" s="87"/>
      <c r="F984" s="87"/>
      <c r="G984" s="87"/>
      <c r="H984" s="87"/>
    </row>
    <row r="985" ht="15.75" customHeight="1">
      <c r="A985" s="96"/>
      <c r="B985" s="83"/>
      <c r="C985" s="83"/>
      <c r="D985" s="83"/>
      <c r="E985" s="83"/>
      <c r="F985" s="83"/>
      <c r="G985" s="83"/>
      <c r="H985" s="83"/>
    </row>
    <row r="986" ht="15.75" customHeight="1">
      <c r="A986" s="94"/>
      <c r="B986" s="87"/>
      <c r="C986" s="87"/>
      <c r="D986" s="87"/>
      <c r="E986" s="87"/>
      <c r="F986" s="87"/>
      <c r="G986" s="87"/>
      <c r="H986" s="87"/>
    </row>
    <row r="987" ht="15.75" customHeight="1">
      <c r="A987" s="96"/>
      <c r="B987" s="83"/>
      <c r="C987" s="83"/>
      <c r="D987" s="83"/>
      <c r="E987" s="83"/>
      <c r="F987" s="83"/>
      <c r="G987" s="83"/>
      <c r="H987" s="83"/>
    </row>
    <row r="988" ht="15.75" customHeight="1">
      <c r="A988" s="94"/>
      <c r="B988" s="87"/>
      <c r="C988" s="87"/>
      <c r="D988" s="87"/>
      <c r="E988" s="87"/>
      <c r="F988" s="87"/>
      <c r="G988" s="87"/>
      <c r="H988" s="87"/>
    </row>
    <row r="989" ht="15.75" customHeight="1">
      <c r="A989" s="96"/>
      <c r="B989" s="83"/>
      <c r="C989" s="83"/>
      <c r="D989" s="83"/>
      <c r="E989" s="83"/>
      <c r="F989" s="83"/>
      <c r="G989" s="83"/>
      <c r="H989" s="83"/>
    </row>
    <row r="990" ht="15.75" customHeight="1">
      <c r="A990" s="94"/>
      <c r="B990" s="87"/>
      <c r="C990" s="87"/>
      <c r="D990" s="87"/>
      <c r="E990" s="87"/>
      <c r="F990" s="87"/>
      <c r="G990" s="87"/>
      <c r="H990" s="87"/>
    </row>
    <row r="991" ht="15.75" customHeight="1">
      <c r="A991" s="96"/>
      <c r="B991" s="83"/>
      <c r="C991" s="83"/>
      <c r="D991" s="83"/>
      <c r="E991" s="83"/>
      <c r="F991" s="83"/>
      <c r="G991" s="83"/>
      <c r="H991" s="83"/>
    </row>
    <row r="992" ht="15.75" customHeight="1">
      <c r="A992" s="94"/>
      <c r="B992" s="87"/>
      <c r="C992" s="87"/>
      <c r="D992" s="87"/>
      <c r="E992" s="87"/>
      <c r="F992" s="87"/>
      <c r="G992" s="87"/>
      <c r="H992" s="87"/>
    </row>
    <row r="993" ht="15.75" customHeight="1">
      <c r="A993" s="96"/>
      <c r="B993" s="83"/>
      <c r="C993" s="83"/>
      <c r="D993" s="83"/>
      <c r="E993" s="83"/>
      <c r="F993" s="83"/>
      <c r="G993" s="83"/>
      <c r="H993" s="83"/>
    </row>
    <row r="994" ht="15.75" customHeight="1">
      <c r="A994" s="94"/>
      <c r="B994" s="87"/>
      <c r="C994" s="87"/>
      <c r="D994" s="87"/>
      <c r="E994" s="87"/>
      <c r="F994" s="87"/>
      <c r="G994" s="87"/>
      <c r="H994" s="87"/>
    </row>
    <row r="995" ht="15.75" customHeight="1">
      <c r="A995" s="96"/>
      <c r="B995" s="83"/>
      <c r="C995" s="83"/>
      <c r="D995" s="83"/>
      <c r="E995" s="83"/>
      <c r="F995" s="83"/>
      <c r="G995" s="83"/>
      <c r="H995" s="83"/>
    </row>
    <row r="996" ht="15.75" customHeight="1">
      <c r="A996" s="94"/>
      <c r="B996" s="87"/>
      <c r="C996" s="87"/>
      <c r="D996" s="87"/>
      <c r="E996" s="87"/>
      <c r="F996" s="87"/>
      <c r="G996" s="87"/>
      <c r="H996" s="87"/>
    </row>
    <row r="997" ht="15.75" customHeight="1">
      <c r="A997" s="96"/>
      <c r="B997" s="83"/>
      <c r="C997" s="83"/>
      <c r="D997" s="83"/>
      <c r="E997" s="83"/>
      <c r="F997" s="83"/>
      <c r="G997" s="83"/>
      <c r="H997" s="83"/>
    </row>
    <row r="998" ht="15.75" customHeight="1">
      <c r="A998" s="94"/>
      <c r="B998" s="87"/>
      <c r="C998" s="87"/>
      <c r="D998" s="87"/>
      <c r="E998" s="87"/>
      <c r="F998" s="87"/>
      <c r="G998" s="87"/>
      <c r="H998" s="87"/>
    </row>
    <row r="999" ht="15.75" customHeight="1">
      <c r="A999" s="96"/>
      <c r="B999" s="83"/>
      <c r="C999" s="83"/>
      <c r="D999" s="83"/>
      <c r="E999" s="83"/>
      <c r="F999" s="83"/>
      <c r="G999" s="83"/>
      <c r="H999" s="83"/>
    </row>
    <row r="1000" ht="15.75" customHeight="1">
      <c r="A1000" s="94"/>
      <c r="B1000" s="87"/>
      <c r="C1000" s="87"/>
      <c r="D1000" s="87"/>
      <c r="E1000" s="87"/>
      <c r="F1000" s="87"/>
      <c r="G1000" s="87"/>
      <c r="H1000" s="87"/>
    </row>
    <row r="1001" ht="15.75" customHeight="1">
      <c r="A1001" s="96"/>
      <c r="B1001" s="83"/>
      <c r="C1001" s="83"/>
      <c r="D1001" s="83"/>
      <c r="E1001" s="83"/>
      <c r="F1001" s="83"/>
      <c r="G1001" s="83"/>
      <c r="H1001" s="83"/>
    </row>
    <row r="1002" ht="15.75" customHeight="1">
      <c r="A1002" s="94"/>
      <c r="B1002" s="87"/>
      <c r="C1002" s="87"/>
      <c r="D1002" s="87"/>
      <c r="E1002" s="87"/>
      <c r="F1002" s="87"/>
      <c r="G1002" s="87"/>
      <c r="H1002" s="87"/>
    </row>
    <row r="1003" ht="15.75" customHeight="1">
      <c r="A1003" s="96"/>
      <c r="B1003" s="83"/>
      <c r="C1003" s="83"/>
      <c r="D1003" s="83"/>
      <c r="E1003" s="83"/>
      <c r="F1003" s="83"/>
      <c r="G1003" s="83"/>
      <c r="H1003" s="83"/>
    </row>
    <row r="1004" ht="15.75" customHeight="1">
      <c r="A1004" s="94"/>
      <c r="B1004" s="87"/>
      <c r="C1004" s="87"/>
      <c r="D1004" s="87"/>
      <c r="E1004" s="87"/>
      <c r="F1004" s="87"/>
      <c r="G1004" s="87"/>
      <c r="H1004" s="87"/>
    </row>
    <row r="1005" ht="15.75" customHeight="1">
      <c r="A1005" s="96"/>
      <c r="B1005" s="83"/>
      <c r="C1005" s="83"/>
      <c r="D1005" s="83"/>
      <c r="E1005" s="83"/>
      <c r="F1005" s="83"/>
      <c r="G1005" s="83"/>
      <c r="H1005" s="83"/>
    </row>
    <row r="1006" ht="15.75" customHeight="1">
      <c r="A1006" s="94"/>
      <c r="B1006" s="87"/>
      <c r="C1006" s="87"/>
      <c r="D1006" s="87"/>
      <c r="E1006" s="87"/>
      <c r="F1006" s="87"/>
      <c r="G1006" s="87"/>
      <c r="H1006" s="87"/>
    </row>
    <row r="1007" ht="15.75" customHeight="1">
      <c r="A1007" s="96"/>
      <c r="B1007" s="83"/>
      <c r="C1007" s="83"/>
      <c r="D1007" s="83"/>
      <c r="E1007" s="83"/>
      <c r="F1007" s="83"/>
      <c r="G1007" s="83"/>
      <c r="H1007" s="83"/>
    </row>
    <row r="1008" ht="15.75" customHeight="1">
      <c r="A1008" s="94"/>
      <c r="B1008" s="87"/>
      <c r="C1008" s="87"/>
      <c r="D1008" s="87"/>
      <c r="E1008" s="87"/>
      <c r="F1008" s="87"/>
      <c r="G1008" s="87"/>
      <c r="H1008" s="87"/>
    </row>
    <row r="1009" ht="15.75" customHeight="1">
      <c r="A1009" s="96"/>
      <c r="B1009" s="83"/>
      <c r="C1009" s="83"/>
      <c r="D1009" s="83"/>
      <c r="E1009" s="83"/>
      <c r="F1009" s="83"/>
      <c r="G1009" s="83"/>
      <c r="H1009" s="83"/>
    </row>
    <row r="1010" ht="15.75" customHeight="1">
      <c r="A1010" s="94"/>
      <c r="B1010" s="87"/>
      <c r="C1010" s="87"/>
      <c r="D1010" s="87"/>
      <c r="E1010" s="87"/>
      <c r="F1010" s="87"/>
      <c r="G1010" s="87"/>
      <c r="H1010" s="87"/>
    </row>
    <row r="1011" ht="15.75" customHeight="1">
      <c r="A1011" s="96"/>
      <c r="B1011" s="83"/>
      <c r="C1011" s="83"/>
      <c r="D1011" s="83"/>
      <c r="E1011" s="83"/>
      <c r="F1011" s="83"/>
      <c r="G1011" s="83"/>
      <c r="H1011" s="83"/>
    </row>
    <row r="1012" ht="15.75" customHeight="1">
      <c r="A1012" s="94"/>
      <c r="B1012" s="87"/>
      <c r="C1012" s="87"/>
      <c r="D1012" s="87"/>
      <c r="E1012" s="87"/>
      <c r="F1012" s="87"/>
      <c r="G1012" s="87"/>
      <c r="H1012" s="87"/>
    </row>
    <row r="1013" ht="15.75" customHeight="1">
      <c r="A1013" s="96"/>
      <c r="B1013" s="83"/>
      <c r="C1013" s="83"/>
      <c r="D1013" s="83"/>
      <c r="E1013" s="83"/>
      <c r="F1013" s="83"/>
      <c r="G1013" s="83"/>
      <c r="H1013" s="83"/>
    </row>
    <row r="1014" ht="15.75" customHeight="1">
      <c r="A1014" s="94"/>
      <c r="B1014" s="87"/>
      <c r="C1014" s="87"/>
      <c r="D1014" s="87"/>
      <c r="E1014" s="87"/>
      <c r="F1014" s="87"/>
      <c r="G1014" s="87"/>
      <c r="H1014" s="87"/>
    </row>
    <row r="1015" ht="15.75" customHeight="1">
      <c r="A1015" s="96"/>
      <c r="B1015" s="83"/>
      <c r="C1015" s="83"/>
      <c r="D1015" s="83"/>
      <c r="E1015" s="83"/>
      <c r="F1015" s="83"/>
      <c r="G1015" s="83"/>
      <c r="H1015" s="83"/>
    </row>
    <row r="1016" ht="15.75" customHeight="1">
      <c r="A1016" s="94"/>
      <c r="B1016" s="87"/>
      <c r="C1016" s="87"/>
      <c r="D1016" s="87"/>
      <c r="E1016" s="87"/>
      <c r="F1016" s="87"/>
      <c r="G1016" s="87"/>
      <c r="H1016" s="87"/>
    </row>
    <row r="1017" ht="15.75" customHeight="1">
      <c r="A1017" s="96"/>
      <c r="B1017" s="83"/>
      <c r="C1017" s="83"/>
      <c r="D1017" s="83"/>
      <c r="E1017" s="83"/>
      <c r="F1017" s="83"/>
      <c r="G1017" s="83"/>
      <c r="H1017" s="83"/>
    </row>
    <row r="1018" ht="15.75" customHeight="1">
      <c r="A1018" s="94"/>
      <c r="B1018" s="87"/>
      <c r="C1018" s="87"/>
      <c r="D1018" s="87"/>
      <c r="E1018" s="87"/>
      <c r="F1018" s="87"/>
      <c r="G1018" s="87"/>
      <c r="H1018" s="87"/>
    </row>
    <row r="1019" ht="15.75" customHeight="1">
      <c r="A1019" s="96"/>
      <c r="B1019" s="83"/>
      <c r="C1019" s="83"/>
      <c r="D1019" s="83"/>
      <c r="E1019" s="83"/>
      <c r="F1019" s="83"/>
      <c r="G1019" s="83"/>
      <c r="H1019" s="83"/>
    </row>
    <row r="1020" ht="15.75" customHeight="1">
      <c r="A1020" s="94"/>
      <c r="B1020" s="87"/>
      <c r="C1020" s="87"/>
      <c r="D1020" s="87"/>
      <c r="E1020" s="87"/>
      <c r="F1020" s="87"/>
      <c r="G1020" s="87"/>
      <c r="H1020" s="87"/>
    </row>
    <row r="1021" ht="15.75" customHeight="1">
      <c r="A1021" s="96"/>
      <c r="B1021" s="83"/>
      <c r="C1021" s="83"/>
      <c r="D1021" s="83"/>
      <c r="E1021" s="83"/>
      <c r="F1021" s="83"/>
      <c r="G1021" s="83"/>
      <c r="H1021" s="83"/>
    </row>
    <row r="1022" ht="15.75" customHeight="1">
      <c r="A1022" s="94"/>
      <c r="B1022" s="87"/>
      <c r="C1022" s="87"/>
      <c r="D1022" s="87"/>
      <c r="E1022" s="87"/>
      <c r="F1022" s="87"/>
      <c r="G1022" s="87"/>
      <c r="H1022" s="87"/>
    </row>
    <row r="1023" ht="15.75" customHeight="1">
      <c r="A1023" s="96"/>
      <c r="B1023" s="83"/>
      <c r="C1023" s="83"/>
      <c r="D1023" s="83"/>
      <c r="E1023" s="83"/>
      <c r="F1023" s="83"/>
      <c r="G1023" s="83"/>
      <c r="H1023" s="83"/>
    </row>
    <row r="1024" ht="15.75" customHeight="1">
      <c r="A1024" s="94"/>
      <c r="B1024" s="87"/>
      <c r="C1024" s="87"/>
      <c r="D1024" s="87"/>
      <c r="E1024" s="87"/>
      <c r="F1024" s="87"/>
      <c r="G1024" s="87"/>
      <c r="H1024" s="87"/>
    </row>
    <row r="1025" ht="15.75" customHeight="1">
      <c r="A1025" s="96"/>
      <c r="B1025" s="83"/>
      <c r="C1025" s="83"/>
      <c r="D1025" s="83"/>
      <c r="E1025" s="83"/>
      <c r="F1025" s="83"/>
      <c r="G1025" s="83"/>
      <c r="H1025" s="83"/>
    </row>
    <row r="1026" ht="15.75" customHeight="1">
      <c r="A1026" s="94"/>
      <c r="B1026" s="87"/>
      <c r="C1026" s="87"/>
      <c r="D1026" s="87"/>
      <c r="E1026" s="87"/>
      <c r="F1026" s="87"/>
      <c r="G1026" s="87"/>
      <c r="H1026" s="87"/>
    </row>
    <row r="1027" ht="15.75" customHeight="1">
      <c r="A1027" s="96"/>
      <c r="B1027" s="83"/>
      <c r="C1027" s="83"/>
      <c r="D1027" s="83"/>
      <c r="E1027" s="83"/>
      <c r="F1027" s="83"/>
      <c r="G1027" s="83"/>
      <c r="H1027" s="83"/>
    </row>
    <row r="1028" ht="15.75" customHeight="1">
      <c r="A1028" s="94"/>
      <c r="B1028" s="87"/>
      <c r="C1028" s="87"/>
      <c r="D1028" s="87"/>
      <c r="E1028" s="87"/>
      <c r="F1028" s="87"/>
      <c r="G1028" s="87"/>
      <c r="H1028" s="87"/>
    </row>
    <row r="1029" ht="15.75" customHeight="1">
      <c r="A1029" s="96"/>
      <c r="B1029" s="83"/>
      <c r="C1029" s="83"/>
      <c r="D1029" s="83"/>
      <c r="E1029" s="83"/>
      <c r="F1029" s="83"/>
      <c r="G1029" s="83"/>
      <c r="H1029" s="83"/>
    </row>
    <row r="1030" ht="15.75" customHeight="1">
      <c r="A1030" s="94"/>
      <c r="B1030" s="87"/>
      <c r="C1030" s="87"/>
      <c r="D1030" s="87"/>
      <c r="E1030" s="87"/>
      <c r="F1030" s="87"/>
      <c r="G1030" s="87"/>
      <c r="H1030" s="87"/>
    </row>
    <row r="1031" ht="15.75" customHeight="1">
      <c r="A1031" s="96"/>
      <c r="B1031" s="83"/>
      <c r="C1031" s="83"/>
      <c r="D1031" s="83"/>
      <c r="E1031" s="83"/>
      <c r="F1031" s="83"/>
      <c r="G1031" s="83"/>
      <c r="H1031" s="83"/>
    </row>
    <row r="1032" ht="15.75" customHeight="1">
      <c r="A1032" s="94"/>
      <c r="B1032" s="87"/>
      <c r="C1032" s="87"/>
      <c r="D1032" s="87"/>
      <c r="E1032" s="87"/>
      <c r="F1032" s="87"/>
      <c r="G1032" s="87"/>
      <c r="H1032" s="87"/>
    </row>
    <row r="1033" ht="15.75" customHeight="1">
      <c r="A1033" s="96"/>
      <c r="B1033" s="83"/>
      <c r="C1033" s="83"/>
      <c r="D1033" s="83"/>
      <c r="E1033" s="83"/>
      <c r="F1033" s="83"/>
      <c r="G1033" s="83"/>
      <c r="H1033" s="83"/>
    </row>
    <row r="1034" ht="15.75" customHeight="1">
      <c r="A1034" s="94"/>
      <c r="B1034" s="87"/>
      <c r="C1034" s="87"/>
      <c r="D1034" s="87"/>
      <c r="E1034" s="87"/>
      <c r="F1034" s="87"/>
      <c r="G1034" s="87"/>
      <c r="H1034" s="87"/>
    </row>
    <row r="1035" ht="15.75" customHeight="1">
      <c r="A1035" s="96"/>
      <c r="B1035" s="83"/>
      <c r="C1035" s="83"/>
      <c r="D1035" s="83"/>
      <c r="E1035" s="83"/>
      <c r="F1035" s="83"/>
      <c r="G1035" s="83"/>
      <c r="H1035" s="83"/>
    </row>
    <row r="1036" ht="15.75" customHeight="1">
      <c r="A1036" s="94"/>
      <c r="B1036" s="87"/>
      <c r="C1036" s="87"/>
      <c r="D1036" s="87"/>
      <c r="E1036" s="87"/>
      <c r="F1036" s="87"/>
      <c r="G1036" s="87"/>
      <c r="H1036" s="87"/>
    </row>
    <row r="1037" ht="15.75" customHeight="1">
      <c r="A1037" s="96"/>
      <c r="B1037" s="83"/>
      <c r="C1037" s="83"/>
      <c r="D1037" s="83"/>
      <c r="E1037" s="83"/>
      <c r="F1037" s="83"/>
      <c r="G1037" s="83"/>
      <c r="H1037" s="83"/>
    </row>
    <row r="1038" ht="15.75" customHeight="1">
      <c r="A1038" s="94"/>
      <c r="B1038" s="87"/>
      <c r="C1038" s="87"/>
      <c r="D1038" s="87"/>
      <c r="E1038" s="87"/>
      <c r="F1038" s="87"/>
      <c r="G1038" s="87"/>
      <c r="H1038" s="87"/>
    </row>
    <row r="1039" ht="15.75" customHeight="1">
      <c r="A1039" s="96"/>
      <c r="B1039" s="83"/>
      <c r="C1039" s="83"/>
      <c r="D1039" s="83"/>
      <c r="E1039" s="83"/>
      <c r="F1039" s="83"/>
      <c r="G1039" s="83"/>
      <c r="H1039" s="83"/>
    </row>
    <row r="1040" ht="15.75" customHeight="1">
      <c r="A1040" s="94"/>
      <c r="B1040" s="87"/>
      <c r="C1040" s="87"/>
      <c r="D1040" s="87"/>
      <c r="E1040" s="87"/>
      <c r="F1040" s="87"/>
      <c r="G1040" s="87"/>
      <c r="H1040" s="87"/>
    </row>
    <row r="1041" ht="15.75" customHeight="1">
      <c r="A1041" s="96"/>
      <c r="B1041" s="83"/>
      <c r="C1041" s="83"/>
      <c r="D1041" s="83"/>
      <c r="E1041" s="83"/>
      <c r="F1041" s="83"/>
      <c r="G1041" s="83"/>
      <c r="H1041" s="83"/>
    </row>
    <row r="1042" ht="15.75" customHeight="1">
      <c r="A1042" s="94"/>
      <c r="B1042" s="87"/>
      <c r="C1042" s="87"/>
      <c r="D1042" s="87"/>
      <c r="E1042" s="87"/>
      <c r="F1042" s="87"/>
      <c r="G1042" s="87"/>
      <c r="H1042" s="87"/>
    </row>
    <row r="1043" ht="15.75" customHeight="1">
      <c r="A1043" s="96"/>
      <c r="B1043" s="83"/>
      <c r="C1043" s="83"/>
      <c r="D1043" s="83"/>
      <c r="E1043" s="83"/>
      <c r="F1043" s="83"/>
      <c r="G1043" s="83"/>
      <c r="H1043" s="83"/>
    </row>
    <row r="1044" ht="15.75" customHeight="1">
      <c r="A1044" s="94"/>
      <c r="B1044" s="87"/>
      <c r="C1044" s="87"/>
      <c r="D1044" s="87"/>
      <c r="E1044" s="87"/>
      <c r="F1044" s="87"/>
      <c r="G1044" s="87"/>
      <c r="H1044" s="87"/>
    </row>
    <row r="1045" ht="15.75" customHeight="1">
      <c r="A1045" s="96"/>
      <c r="B1045" s="83"/>
      <c r="C1045" s="83"/>
      <c r="D1045" s="83"/>
      <c r="E1045" s="83"/>
      <c r="F1045" s="83"/>
      <c r="G1045" s="83"/>
      <c r="H1045" s="83"/>
    </row>
    <row r="1046" ht="15.75" customHeight="1">
      <c r="A1046" s="94"/>
      <c r="B1046" s="87"/>
      <c r="C1046" s="87"/>
      <c r="D1046" s="87"/>
      <c r="E1046" s="87"/>
      <c r="F1046" s="87"/>
      <c r="G1046" s="87"/>
      <c r="H1046" s="87"/>
    </row>
    <row r="1047" ht="15.75" customHeight="1">
      <c r="A1047" s="96"/>
      <c r="B1047" s="83"/>
      <c r="C1047" s="83"/>
      <c r="D1047" s="83"/>
      <c r="E1047" s="83"/>
      <c r="F1047" s="83"/>
      <c r="G1047" s="83"/>
      <c r="H1047" s="83"/>
    </row>
    <row r="1048" ht="15.75" customHeight="1">
      <c r="A1048" s="94"/>
      <c r="B1048" s="87"/>
      <c r="C1048" s="87"/>
      <c r="D1048" s="87"/>
      <c r="E1048" s="87"/>
      <c r="F1048" s="87"/>
      <c r="G1048" s="87"/>
      <c r="H1048" s="87"/>
    </row>
    <row r="1049" ht="15.75" customHeight="1">
      <c r="A1049" s="96"/>
      <c r="B1049" s="83"/>
      <c r="C1049" s="83"/>
      <c r="D1049" s="83"/>
      <c r="E1049" s="83"/>
      <c r="F1049" s="83"/>
      <c r="G1049" s="83"/>
      <c r="H1049" s="83"/>
    </row>
    <row r="1050" ht="15.75" customHeight="1">
      <c r="A1050" s="94"/>
      <c r="B1050" s="87"/>
      <c r="C1050" s="87"/>
      <c r="D1050" s="87"/>
      <c r="E1050" s="87"/>
      <c r="F1050" s="87"/>
      <c r="G1050" s="87"/>
      <c r="H1050" s="87"/>
    </row>
    <row r="1051" ht="15.75" customHeight="1">
      <c r="A1051" s="96"/>
      <c r="B1051" s="83"/>
      <c r="C1051" s="83"/>
      <c r="D1051" s="83"/>
      <c r="E1051" s="83"/>
      <c r="F1051" s="83"/>
      <c r="G1051" s="83"/>
      <c r="H1051" s="83"/>
    </row>
    <row r="1052" ht="15.75" customHeight="1">
      <c r="A1052" s="94"/>
      <c r="B1052" s="87"/>
      <c r="C1052" s="87"/>
      <c r="D1052" s="87"/>
      <c r="E1052" s="87"/>
      <c r="F1052" s="87"/>
      <c r="G1052" s="87"/>
      <c r="H1052" s="87"/>
    </row>
    <row r="1053" ht="15.75" customHeight="1">
      <c r="A1053" s="96"/>
      <c r="B1053" s="83"/>
      <c r="C1053" s="83"/>
      <c r="D1053" s="83"/>
      <c r="E1053" s="83"/>
      <c r="F1053" s="83"/>
      <c r="G1053" s="83"/>
      <c r="H1053" s="83"/>
    </row>
    <row r="1054" ht="15.75" customHeight="1">
      <c r="A1054" s="94"/>
      <c r="B1054" s="87"/>
      <c r="C1054" s="87"/>
      <c r="D1054" s="87"/>
      <c r="E1054" s="87"/>
      <c r="F1054" s="87"/>
      <c r="G1054" s="87"/>
      <c r="H1054" s="87"/>
    </row>
    <row r="1055" ht="15.75" customHeight="1">
      <c r="A1055" s="96"/>
      <c r="B1055" s="83"/>
      <c r="C1055" s="83"/>
      <c r="D1055" s="83"/>
      <c r="E1055" s="83"/>
      <c r="F1055" s="83"/>
      <c r="G1055" s="83"/>
      <c r="H1055" s="83"/>
    </row>
    <row r="1056" ht="15.75" customHeight="1">
      <c r="A1056" s="94"/>
      <c r="B1056" s="87"/>
      <c r="C1056" s="87"/>
      <c r="D1056" s="87"/>
      <c r="E1056" s="87"/>
      <c r="F1056" s="87"/>
      <c r="G1056" s="87"/>
      <c r="H1056" s="87"/>
    </row>
    <row r="1057" ht="15.75" customHeight="1">
      <c r="A1057" s="96"/>
      <c r="B1057" s="83"/>
      <c r="C1057" s="83"/>
      <c r="D1057" s="83"/>
      <c r="E1057" s="83"/>
      <c r="F1057" s="83"/>
      <c r="G1057" s="83"/>
      <c r="H1057" s="83"/>
    </row>
    <row r="1058" ht="15.75" customHeight="1">
      <c r="A1058" s="94"/>
      <c r="B1058" s="87"/>
      <c r="C1058" s="87"/>
      <c r="D1058" s="87"/>
      <c r="E1058" s="87"/>
      <c r="F1058" s="87"/>
      <c r="G1058" s="87"/>
      <c r="H1058" s="87"/>
    </row>
    <row r="1059" ht="15.75" customHeight="1">
      <c r="A1059" s="96"/>
      <c r="B1059" s="83"/>
      <c r="C1059" s="83"/>
      <c r="D1059" s="83"/>
      <c r="E1059" s="83"/>
      <c r="F1059" s="83"/>
      <c r="G1059" s="83"/>
      <c r="H1059" s="83"/>
    </row>
    <row r="1060" ht="15.75" customHeight="1">
      <c r="A1060" s="94"/>
      <c r="B1060" s="87"/>
      <c r="C1060" s="87"/>
      <c r="D1060" s="87"/>
      <c r="E1060" s="87"/>
      <c r="F1060" s="87"/>
      <c r="G1060" s="87"/>
      <c r="H1060" s="87"/>
    </row>
    <row r="1061" ht="15.75" customHeight="1">
      <c r="A1061" s="96"/>
      <c r="B1061" s="83"/>
      <c r="C1061" s="83"/>
      <c r="D1061" s="83"/>
      <c r="E1061" s="83"/>
      <c r="F1061" s="83"/>
      <c r="G1061" s="83"/>
      <c r="H1061" s="83"/>
    </row>
    <row r="1062" ht="15.75" customHeight="1">
      <c r="A1062" s="94"/>
      <c r="B1062" s="87"/>
      <c r="C1062" s="87"/>
      <c r="D1062" s="87"/>
      <c r="E1062" s="87"/>
      <c r="F1062" s="87"/>
      <c r="G1062" s="87"/>
      <c r="H1062" s="87"/>
    </row>
    <row r="1063" ht="15.75" customHeight="1">
      <c r="A1063" s="96"/>
      <c r="B1063" s="83"/>
      <c r="C1063" s="83"/>
      <c r="D1063" s="83"/>
      <c r="E1063" s="83"/>
      <c r="F1063" s="83"/>
      <c r="G1063" s="83"/>
      <c r="H1063" s="83"/>
    </row>
    <row r="1064" ht="15.75" customHeight="1">
      <c r="A1064" s="94"/>
      <c r="B1064" s="87"/>
      <c r="C1064" s="87"/>
      <c r="D1064" s="87"/>
      <c r="E1064" s="87"/>
      <c r="F1064" s="87"/>
      <c r="G1064" s="87"/>
      <c r="H1064" s="87"/>
    </row>
    <row r="1065" ht="15.75" customHeight="1">
      <c r="A1065" s="96"/>
      <c r="B1065" s="83"/>
      <c r="C1065" s="83"/>
      <c r="D1065" s="83"/>
      <c r="E1065" s="83"/>
      <c r="F1065" s="83"/>
      <c r="G1065" s="83"/>
      <c r="H1065" s="83"/>
    </row>
    <row r="1066" ht="15.75" customHeight="1">
      <c r="A1066" s="94"/>
      <c r="B1066" s="87"/>
      <c r="C1066" s="87"/>
      <c r="D1066" s="87"/>
      <c r="E1066" s="87"/>
      <c r="F1066" s="87"/>
      <c r="G1066" s="87"/>
      <c r="H1066" s="87"/>
    </row>
    <row r="1067" ht="15.75" customHeight="1">
      <c r="A1067" s="96"/>
      <c r="B1067" s="83"/>
      <c r="C1067" s="83"/>
      <c r="D1067" s="83"/>
      <c r="E1067" s="83"/>
      <c r="F1067" s="83"/>
      <c r="G1067" s="83"/>
      <c r="H1067" s="83"/>
    </row>
    <row r="1068" ht="15.75" customHeight="1">
      <c r="A1068" s="94"/>
      <c r="B1068" s="87"/>
      <c r="C1068" s="87"/>
      <c r="D1068" s="87"/>
      <c r="E1068" s="87"/>
      <c r="F1068" s="87"/>
      <c r="G1068" s="87"/>
      <c r="H1068" s="87"/>
    </row>
    <row r="1069" ht="15.75" customHeight="1">
      <c r="A1069" s="96"/>
      <c r="B1069" s="83"/>
      <c r="C1069" s="83"/>
      <c r="D1069" s="83"/>
      <c r="E1069" s="83"/>
      <c r="F1069" s="83"/>
      <c r="G1069" s="83"/>
      <c r="H1069" s="83"/>
    </row>
    <row r="1070" ht="15.75" customHeight="1">
      <c r="A1070" s="94"/>
      <c r="B1070" s="87"/>
      <c r="C1070" s="87"/>
      <c r="D1070" s="87"/>
      <c r="E1070" s="87"/>
      <c r="F1070" s="87"/>
      <c r="G1070" s="87"/>
      <c r="H1070" s="87"/>
    </row>
    <row r="1071" ht="15.75" customHeight="1">
      <c r="A1071" s="96"/>
      <c r="B1071" s="83"/>
      <c r="C1071" s="83"/>
      <c r="D1071" s="83"/>
      <c r="E1071" s="83"/>
      <c r="F1071" s="83"/>
      <c r="G1071" s="83"/>
      <c r="H1071" s="83"/>
    </row>
    <row r="1072" ht="15.75" customHeight="1">
      <c r="A1072" s="94"/>
      <c r="B1072" s="87"/>
      <c r="C1072" s="87"/>
      <c r="D1072" s="87"/>
      <c r="E1072" s="87"/>
      <c r="F1072" s="87"/>
      <c r="G1072" s="87"/>
      <c r="H1072" s="87"/>
    </row>
    <row r="1073" ht="15.75" customHeight="1">
      <c r="A1073" s="96"/>
      <c r="B1073" s="83"/>
      <c r="C1073" s="83"/>
      <c r="D1073" s="83"/>
      <c r="E1073" s="83"/>
      <c r="F1073" s="83"/>
      <c r="G1073" s="83"/>
      <c r="H1073" s="83"/>
    </row>
    <row r="1074" ht="15.75" customHeight="1">
      <c r="A1074" s="94"/>
      <c r="B1074" s="87"/>
      <c r="C1074" s="87"/>
      <c r="D1074" s="87"/>
      <c r="E1074" s="87"/>
      <c r="F1074" s="87"/>
      <c r="G1074" s="87"/>
      <c r="H1074" s="87"/>
    </row>
    <row r="1075" ht="15.75" customHeight="1">
      <c r="A1075" s="96"/>
      <c r="B1075" s="83"/>
      <c r="C1075" s="83"/>
      <c r="D1075" s="83"/>
      <c r="E1075" s="83"/>
      <c r="F1075" s="83"/>
      <c r="G1075" s="83"/>
      <c r="H1075" s="83"/>
    </row>
    <row r="1076" ht="15.75" customHeight="1">
      <c r="A1076" s="94"/>
      <c r="B1076" s="87"/>
      <c r="C1076" s="87"/>
      <c r="D1076" s="87"/>
      <c r="E1076" s="87"/>
      <c r="F1076" s="87"/>
      <c r="G1076" s="87"/>
      <c r="H1076" s="87"/>
    </row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2.63"/>
    <col customWidth="1" min="2" max="2" width="24.63"/>
    <col customWidth="1" min="3" max="3" width="16.13"/>
    <col customWidth="1" min="4" max="4" width="15.25"/>
    <col customWidth="1" min="7" max="7" width="20.38"/>
    <col customWidth="1" min="8" max="8" width="14.75"/>
  </cols>
  <sheetData>
    <row r="1">
      <c r="A1" s="97" t="s">
        <v>442</v>
      </c>
    </row>
    <row r="3">
      <c r="A3" s="98"/>
      <c r="B3" s="98"/>
      <c r="C3" s="98"/>
      <c r="D3" s="98"/>
      <c r="E3" s="98"/>
      <c r="F3" s="98"/>
      <c r="G3" s="99"/>
      <c r="H3" s="99"/>
      <c r="I3" s="99"/>
      <c r="J3" s="99"/>
      <c r="K3" s="99"/>
      <c r="L3" s="100"/>
    </row>
    <row r="4">
      <c r="A4" s="101" t="s">
        <v>443</v>
      </c>
      <c r="B4" s="102" t="s">
        <v>103</v>
      </c>
      <c r="C4" s="103" t="s">
        <v>444</v>
      </c>
      <c r="D4" s="100"/>
      <c r="E4" s="100"/>
      <c r="F4" s="104" t="s">
        <v>368</v>
      </c>
      <c r="G4" s="100"/>
      <c r="H4" s="100"/>
      <c r="I4" s="100"/>
      <c r="J4" s="100"/>
      <c r="K4" s="100"/>
      <c r="L4" s="100"/>
    </row>
    <row r="5">
      <c r="A5" s="105"/>
      <c r="B5" s="100"/>
      <c r="C5" s="100"/>
      <c r="D5" s="106"/>
      <c r="E5" s="100"/>
      <c r="F5" s="107" t="s">
        <v>445</v>
      </c>
      <c r="G5" s="107" t="s">
        <v>69</v>
      </c>
      <c r="H5" s="107" t="s">
        <v>70</v>
      </c>
      <c r="I5" s="107" t="s">
        <v>446</v>
      </c>
      <c r="J5" s="107" t="s">
        <v>447</v>
      </c>
      <c r="K5" s="100"/>
      <c r="L5" s="100"/>
    </row>
    <row r="6">
      <c r="A6" s="104" t="s">
        <v>448</v>
      </c>
      <c r="B6" s="108" t="str">
        <f t="array" ref="B6">IF($B$4="","",IFNA(XLOOKUP($B$4,Students!$A:$A,Students!$B:$B),"Unknown card"))</f>
        <v>Harold Dou</v>
      </c>
      <c r="C6" s="104" t="s">
        <v>449</v>
      </c>
      <c r="D6" s="109">
        <f>IF($B$4="","",SUMIFS(Transactions!$F:$F,Transactions!$C:$C,$B$4,Transactions!$E:$E,"DEPOSIT",Transactions!$L:$L,"Success"))</f>
        <v>35</v>
      </c>
      <c r="E6" s="100"/>
      <c r="F6" s="108" t="str">
        <f>IFERROR(__xludf.DUMMYFUNCTION("IF($B$4="""","""",IFNA(QUERY(SORT(FILTER({Student_Inventory!$D$2:$D38,Student_Inventory!$E$2:$E38,Student_Inventory!$F$2:$F38,Student_Inventory!$G$2:$G38,Student_Inventory!$H$2:$H38},Student_Inventory!$A$2:$A38=$B$4,Student_Inventory!$F$2:$F38&gt;0),5,FALSE)"&amp;",""limit 8"",0),""No inventory found""))"),"No inventory found")</f>
        <v>No inventory found</v>
      </c>
      <c r="G6" s="108"/>
      <c r="H6" s="110"/>
      <c r="I6" s="111"/>
      <c r="J6" s="112"/>
      <c r="K6" s="100"/>
      <c r="L6" s="100"/>
    </row>
    <row r="7">
      <c r="A7" s="104" t="s">
        <v>65</v>
      </c>
      <c r="B7" s="108">
        <f t="array" ref="B7">IF($B$4="","",IFNA(XLOOKUP($B$4,Students!$A:$A,Students!$C:$C),"Unknown card"))</f>
        <v>10</v>
      </c>
      <c r="C7" s="104" t="s">
        <v>450</v>
      </c>
      <c r="D7" s="109">
        <f>IF($B$4="","",SUMIFS(Transactions!$F:$F,Transactions!$C:$C,$B$4,Transactions!$E:$E,"WITHDRAW",Transactions!$L:$L,"Success"))</f>
        <v>0</v>
      </c>
      <c r="E7" s="100"/>
      <c r="F7" s="100"/>
      <c r="G7" s="100"/>
      <c r="H7" s="113"/>
      <c r="I7" s="106"/>
      <c r="J7" s="114"/>
      <c r="K7" s="100"/>
      <c r="L7" s="100"/>
    </row>
    <row r="8">
      <c r="A8" s="104" t="s">
        <v>66</v>
      </c>
      <c r="B8" s="108" t="str">
        <f t="array" ref="B8">IF($B$4="","",IFNA(XLOOKUP($B$4,Students!$A:$A,Students!$D:$D),""))</f>
        <v>HS202</v>
      </c>
      <c r="C8" s="104" t="s">
        <v>451</v>
      </c>
      <c r="D8" s="109">
        <f>IF($B$4="","",SUMIFS(Transactions!$F:$F,Transactions!$C:$C,$B$4,Transactions!$E:$E,"REWARD",Transactions!$L:$L,"Success"))</f>
        <v>80</v>
      </c>
      <c r="E8" s="100"/>
      <c r="F8" s="100"/>
      <c r="G8" s="100"/>
      <c r="H8" s="113"/>
      <c r="I8" s="106"/>
      <c r="J8" s="114"/>
      <c r="K8" s="100"/>
      <c r="L8" s="100"/>
    </row>
    <row r="9">
      <c r="A9" s="104" t="s">
        <v>452</v>
      </c>
      <c r="B9" s="111">
        <f t="array" ref="B9">IF($B$4="","",IFNA(XLOOKUP($B$4,Students!$A:$A,Students!$E:$E),0))</f>
        <v>198</v>
      </c>
      <c r="C9" s="104" t="s">
        <v>453</v>
      </c>
      <c r="D9" s="109">
        <f>IF($B$4="","",SUMIFS(Transactions!$F:$F,Transactions!$C:$C,$B$4,Transactions!$E:$E,"FINE",Transactions!$L:$L,"Success"))</f>
        <v>20</v>
      </c>
      <c r="E9" s="100"/>
      <c r="F9" s="100"/>
      <c r="G9" s="100"/>
      <c r="H9" s="113"/>
      <c r="I9" s="106"/>
      <c r="J9" s="114"/>
      <c r="K9" s="100"/>
      <c r="L9" s="100"/>
    </row>
    <row r="10">
      <c r="A10" s="104" t="s">
        <v>454</v>
      </c>
      <c r="B10" s="108" t="str">
        <f t="array" ref="B10">IF($B$4="","",IFNA(XLOOKUP($B$4,Students!$A:$A,Students!$F:$F),"No job assigned"))</f>
        <v>-</v>
      </c>
      <c r="C10" s="104" t="s">
        <v>455</v>
      </c>
      <c r="D10" s="110">
        <f>IF($B$4="","",COUNTIFS(Transactions!$C:$C,$B$4,Transactions!$E:$E,"STORE_PURCHASE",Transactions!$L:$L,"Success"))</f>
        <v>1</v>
      </c>
      <c r="E10" s="100"/>
      <c r="F10" s="100"/>
      <c r="G10" s="100"/>
      <c r="H10" s="113"/>
      <c r="I10" s="106"/>
      <c r="J10" s="114"/>
      <c r="K10" s="100"/>
      <c r="L10" s="100"/>
    </row>
    <row r="11">
      <c r="A11" s="104" t="s">
        <v>456</v>
      </c>
      <c r="B11" s="108">
        <f t="array" ref="B11">IF($B$4="","",IFNA(XLOOKUP($B$4,Students!$A:$A,Students!$I:$I),0))</f>
        <v>1</v>
      </c>
      <c r="C11" s="104" t="s">
        <v>446</v>
      </c>
      <c r="D11" s="109">
        <f>IF($B$4="","",SUMIFS(Transactions!$F:$F,Transactions!$C:$C,$B$4,Transactions!$E:$E,"STORE_PURCHASE",Transactions!$L:$L,"Success"))</f>
        <v>1000</v>
      </c>
      <c r="E11" s="100"/>
      <c r="F11" s="100"/>
      <c r="G11" s="100"/>
      <c r="H11" s="113"/>
      <c r="I11" s="106"/>
      <c r="J11" s="114"/>
      <c r="K11" s="100"/>
      <c r="L11" s="100"/>
    </row>
    <row r="12">
      <c r="A12" s="100"/>
      <c r="B12" s="100"/>
      <c r="C12" s="100"/>
      <c r="D12" s="100"/>
      <c r="E12" s="100"/>
      <c r="F12" s="100"/>
      <c r="G12" s="100"/>
      <c r="H12" s="113"/>
      <c r="I12" s="106"/>
      <c r="J12" s="114"/>
      <c r="K12" s="100"/>
      <c r="L12" s="100"/>
    </row>
    <row r="13">
      <c r="A13" s="100"/>
      <c r="B13" s="100"/>
      <c r="C13" s="100"/>
      <c r="D13" s="100"/>
      <c r="E13" s="100"/>
      <c r="F13" s="100"/>
      <c r="G13" s="100"/>
      <c r="H13" s="113"/>
      <c r="I13" s="106"/>
      <c r="J13" s="114"/>
      <c r="K13" s="100"/>
      <c r="L13" s="100"/>
    </row>
    <row r="14">
      <c r="A14" s="104" t="s">
        <v>457</v>
      </c>
      <c r="G14" s="104" t="s">
        <v>458</v>
      </c>
    </row>
    <row r="15">
      <c r="A15" s="107" t="s">
        <v>459</v>
      </c>
      <c r="B15" s="107" t="s">
        <v>39</v>
      </c>
      <c r="C15" s="107" t="s">
        <v>460</v>
      </c>
      <c r="D15" s="107" t="s">
        <v>461</v>
      </c>
      <c r="E15" s="107" t="s">
        <v>71</v>
      </c>
      <c r="G15" s="107" t="s">
        <v>459</v>
      </c>
      <c r="H15" s="107" t="s">
        <v>39</v>
      </c>
      <c r="I15" s="107" t="s">
        <v>161</v>
      </c>
      <c r="J15" s="107" t="s">
        <v>462</v>
      </c>
      <c r="K15" s="107" t="s">
        <v>71</v>
      </c>
    </row>
    <row r="16">
      <c r="A16" s="115">
        <f>IFERROR(__xludf.DUMMYFUNCTION("IF($B$4="""","""",
 IFNA(
  QUERY(
   SORT(
    FILTER(
     {Transactions!$A$2:$A38,Transactions!$E$2:$E38,Transactions!$F$2:$F38,Transactions!$H$2:$H38,Transactions!$K$2:$K38},
     Transactions!$C$2:$C38=$B$4,
     Transactions!$L$2:$L38=""Success"",
 "&amp;"    NOT(REGEXMATCH(UPPER(Transactions!$E$2:$E38&amp;"" ""&amp;Transactions!$F$2:$F38&amp;"" ""&amp;Transactions!$H$2:$H38&amp;"" ""&amp;Transactions!$K$2:$K38),""REWARD|FINE""))
    ),
    1,FALSE
   ),
   ""limit 10"",
   0
  ),
  ""No transactions found""
 )
)"),46184.60606481481)</f>
        <v>46184.60606</v>
      </c>
      <c r="B16" s="108" t="str">
        <f>IFERROR(__xludf.DUMMYFUNCTION("""COMPUTED_VALUE"""),"STORE_PURCHASE")</f>
        <v>STORE_PURCHASE</v>
      </c>
      <c r="C16" s="111">
        <f>IFERROR(__xludf.DUMMYFUNCTION("""COMPUTED_VALUE"""),1000.0)</f>
        <v>1000</v>
      </c>
      <c r="D16" s="111">
        <f>IFERROR(__xludf.DUMMYFUNCTION("""COMPUTED_VALUE"""),198.0)</f>
        <v>198</v>
      </c>
      <c r="E16" s="116" t="str">
        <f>IFERROR(__xludf.DUMMYFUNCTION("""COMPUTED_VALUE"""),"Store purchase")</f>
        <v>Store purchase</v>
      </c>
      <c r="G16" s="115">
        <f>IFERROR(__xludf.DUMMYFUNCTION("IF($B$4="""","""",IFNA(QUERY(SORT(FILTER({Transactions!$A$2:$A38,Transactions!$E$2:$E38,Transactions!$F$2:$F38,Transactions!$H$2:$H38,Transactions!$K$2:$K38},Transactions!$C$2:$C38=$B$4,Transactions!$E$2:$E38=""STORE_PURCHASE"",Transactions!$L$2:$L38=""Su"&amp;"ccess""),1,FALSE),""limit 10"",0),""No purchases found""))"),46184.60606481481)</f>
        <v>46184.60606</v>
      </c>
      <c r="H16" s="108" t="str">
        <f>IFERROR(__xludf.DUMMYFUNCTION("""COMPUTED_VALUE"""),"STORE_PURCHASE")</f>
        <v>STORE_PURCHASE</v>
      </c>
      <c r="I16" s="111">
        <f>IFERROR(__xludf.DUMMYFUNCTION("""COMPUTED_VALUE"""),1000.0)</f>
        <v>1000</v>
      </c>
      <c r="J16" s="111">
        <f>IFERROR(__xludf.DUMMYFUNCTION("""COMPUTED_VALUE"""),198.0)</f>
        <v>198</v>
      </c>
      <c r="K16" s="108" t="str">
        <f>IFERROR(__xludf.DUMMYFUNCTION("""COMPUTED_VALUE"""),"Store purchase")</f>
        <v>Store purchase</v>
      </c>
    </row>
    <row r="17">
      <c r="A17" s="115">
        <f>IFERROR(__xludf.DUMMYFUNCTION("""COMPUTED_VALUE"""),46178.55496527778)</f>
        <v>46178.55497</v>
      </c>
      <c r="B17" s="108" t="str">
        <f>IFERROR(__xludf.DUMMYFUNCTION("""COMPUTED_VALUE"""),"DEPOSIT")</f>
        <v>DEPOSIT</v>
      </c>
      <c r="C17" s="111">
        <f>IFERROR(__xludf.DUMMYFUNCTION("""COMPUTED_VALUE"""),15.0)</f>
        <v>15</v>
      </c>
      <c r="D17" s="111">
        <f>IFERROR(__xludf.DUMMYFUNCTION("""COMPUTED_VALUE"""),65.0)</f>
        <v>65</v>
      </c>
      <c r="E17" s="116"/>
      <c r="G17" s="115"/>
      <c r="H17" s="108"/>
      <c r="I17" s="111"/>
      <c r="J17" s="111"/>
      <c r="K17" s="108"/>
    </row>
    <row r="18">
      <c r="A18" s="115">
        <f>IFERROR(__xludf.DUMMYFUNCTION("""COMPUTED_VALUE"""),46163.469618055555)</f>
        <v>46163.46962</v>
      </c>
      <c r="B18" s="108" t="str">
        <f>IFERROR(__xludf.DUMMYFUNCTION("""COMPUTED_VALUE"""),"DEPOSIT")</f>
        <v>DEPOSIT</v>
      </c>
      <c r="C18" s="111">
        <f>IFERROR(__xludf.DUMMYFUNCTION("""COMPUTED_VALUE"""),20.0)</f>
        <v>20</v>
      </c>
      <c r="D18" s="111">
        <f>IFERROR(__xludf.DUMMYFUNCTION("""COMPUTED_VALUE"""),30.0)</f>
        <v>30</v>
      </c>
      <c r="E18" s="116"/>
      <c r="G18" s="115"/>
      <c r="H18" s="108"/>
      <c r="I18" s="111"/>
      <c r="J18" s="111"/>
      <c r="K18" s="108"/>
    </row>
    <row r="19">
      <c r="A19" s="115"/>
      <c r="B19" s="108"/>
      <c r="C19" s="111"/>
      <c r="D19" s="111"/>
      <c r="E19" s="116"/>
      <c r="G19" s="115"/>
      <c r="H19" s="108"/>
      <c r="I19" s="111"/>
      <c r="J19" s="111"/>
      <c r="K19" s="108"/>
    </row>
    <row r="20">
      <c r="A20" s="115"/>
      <c r="B20" s="108"/>
      <c r="C20" s="111"/>
      <c r="D20" s="111"/>
      <c r="E20" s="116"/>
      <c r="G20" s="115"/>
      <c r="H20" s="108"/>
      <c r="I20" s="111"/>
      <c r="J20" s="111"/>
      <c r="K20" s="108"/>
    </row>
    <row r="21">
      <c r="A21" s="115"/>
      <c r="B21" s="108"/>
      <c r="C21" s="111"/>
      <c r="D21" s="111"/>
      <c r="E21" s="116"/>
      <c r="G21" s="115"/>
      <c r="H21" s="108"/>
      <c r="I21" s="111"/>
      <c r="J21" s="111"/>
      <c r="K21" s="108"/>
    </row>
    <row r="22">
      <c r="A22" s="115"/>
      <c r="B22" s="108"/>
      <c r="C22" s="111"/>
      <c r="D22" s="111"/>
      <c r="E22" s="116"/>
      <c r="G22" s="115"/>
      <c r="H22" s="108"/>
      <c r="I22" s="111"/>
      <c r="J22" s="111"/>
      <c r="K22" s="108"/>
    </row>
    <row r="23">
      <c r="A23" s="115"/>
      <c r="B23" s="108"/>
      <c r="C23" s="111"/>
      <c r="D23" s="111"/>
      <c r="E23" s="116"/>
      <c r="G23" s="115"/>
      <c r="H23" s="108"/>
      <c r="I23" s="111"/>
      <c r="J23" s="111"/>
      <c r="K23" s="108"/>
    </row>
    <row r="24">
      <c r="A24" s="115"/>
      <c r="B24" s="108"/>
      <c r="C24" s="111"/>
      <c r="D24" s="111"/>
      <c r="E24" s="116"/>
      <c r="G24" s="115"/>
      <c r="H24" s="108"/>
      <c r="I24" s="111"/>
      <c r="J24" s="111"/>
      <c r="K24" s="108"/>
    </row>
    <row r="25">
      <c r="A25" s="115"/>
      <c r="B25" s="108"/>
      <c r="C25" s="111"/>
      <c r="D25" s="111"/>
      <c r="E25" s="116"/>
      <c r="G25" s="115"/>
      <c r="H25" s="108"/>
      <c r="I25" s="111"/>
      <c r="J25" s="111"/>
      <c r="K25" s="108"/>
    </row>
    <row r="26">
      <c r="A26" s="115"/>
      <c r="B26" s="108"/>
      <c r="C26" s="111"/>
      <c r="D26" s="111"/>
      <c r="E26" s="116"/>
      <c r="G26" s="115"/>
      <c r="H26" s="108"/>
      <c r="I26" s="111"/>
      <c r="J26" s="111"/>
      <c r="K26" s="108"/>
    </row>
    <row r="27">
      <c r="A27" s="104" t="s">
        <v>463</v>
      </c>
      <c r="G27" s="104" t="s">
        <v>464</v>
      </c>
    </row>
    <row r="28">
      <c r="A28" s="107" t="s">
        <v>459</v>
      </c>
      <c r="B28" s="107" t="s">
        <v>465</v>
      </c>
      <c r="C28" s="107" t="s">
        <v>41</v>
      </c>
      <c r="D28" s="107" t="s">
        <v>71</v>
      </c>
      <c r="G28" s="107" t="s">
        <v>459</v>
      </c>
      <c r="H28" s="107" t="s">
        <v>39</v>
      </c>
      <c r="I28" s="107" t="s">
        <v>460</v>
      </c>
      <c r="J28" s="107" t="s">
        <v>462</v>
      </c>
      <c r="K28" s="107" t="s">
        <v>466</v>
      </c>
    </row>
    <row r="29">
      <c r="A29" s="115">
        <f>IFERROR(__xludf.DUMMYFUNCTION("IF($B$4="""","""",IFNA(QUERY(SORT(FILTER({Attendance_Log!$A:$A,Attendance_Log!$I:$I,Attendance_Log!$H:$H},Attendance_Log!$C:$C=$B$4,Attendance_Log!$M:$M=""Success""),1,FALSE),""limit 10"",0),""No attendance records found""))"),46184.35737268519)</f>
        <v>46184.35737</v>
      </c>
      <c r="B29" s="117">
        <f>IFERROR(__xludf.DUMMYFUNCTION("""COMPUTED_VALUE"""),0.3573726851864194)</f>
        <v>0.3573726852</v>
      </c>
      <c r="C29" s="118" t="str">
        <f>IFERROR(__xludf.DUMMYFUNCTION("""COMPUTED_VALUE"""),"Present")</f>
        <v>Present</v>
      </c>
      <c r="D29" s="119"/>
      <c r="G29" s="115">
        <f>IFERROR(__xludf.DUMMYFUNCTION("IF($B$4="""","""",IFNA(QUERY(SORT(FILTER({Transactions!$A$2:$A38,Transactions!$E$2:$E38,Transactions!$F$2:$F38,Transactions!$H$2:$H38,Transactions!$K$2:$K38},Transactions!$C$2:$C38=$B$4,REGEXMATCH(Transactions!$E$2:$E38,""REWARD|FINE""),Transactions!$L$2:"&amp;"$L38=""Success""),1,FALSE),""limit 10"",0),""No rewards or fines found""))"),46184.35739583333)</f>
        <v>46184.3574</v>
      </c>
      <c r="H29" s="118" t="str">
        <f>IFERROR(__xludf.DUMMYFUNCTION("""COMPUTED_VALUE"""),"REWARD")</f>
        <v>REWARD</v>
      </c>
      <c r="I29" s="111">
        <f>IFERROR(__xludf.DUMMYFUNCTION("""COMPUTED_VALUE"""),10.0)</f>
        <v>10</v>
      </c>
      <c r="J29" s="111">
        <f>IFERROR(__xludf.DUMMYFUNCTION("""COMPUTED_VALUE"""),595.0)</f>
        <v>595</v>
      </c>
      <c r="K29" s="118" t="str">
        <f>IFERROR(__xludf.DUMMYFUNCTION("""COMPUTED_VALUE"""),"On-time attendance reward")</f>
        <v>On-time attendance reward</v>
      </c>
    </row>
    <row r="30">
      <c r="A30" s="115">
        <f>IFERROR(__xludf.DUMMYFUNCTION("""COMPUTED_VALUE"""),46182.35805555555)</f>
        <v>46182.35806</v>
      </c>
      <c r="B30" s="117">
        <f>IFERROR(__xludf.DUMMYFUNCTION("""COMPUTED_VALUE"""),0.3580555555563478)</f>
        <v>0.3580555556</v>
      </c>
      <c r="C30" s="118" t="str">
        <f>IFERROR(__xludf.DUMMYFUNCTION("""COMPUTED_VALUE"""),"Present")</f>
        <v>Present</v>
      </c>
      <c r="D30" s="119"/>
      <c r="G30" s="115">
        <f>IFERROR(__xludf.DUMMYFUNCTION("""COMPUTED_VALUE"""),46182.358078703706)</f>
        <v>46182.35808</v>
      </c>
      <c r="H30" s="118" t="str">
        <f>IFERROR(__xludf.DUMMYFUNCTION("""COMPUTED_VALUE"""),"REWARD")</f>
        <v>REWARD</v>
      </c>
      <c r="I30" s="111">
        <f>IFERROR(__xludf.DUMMYFUNCTION("""COMPUTED_VALUE"""),10.0)</f>
        <v>10</v>
      </c>
      <c r="J30" s="111">
        <f>IFERROR(__xludf.DUMMYFUNCTION("""COMPUTED_VALUE"""),585.0)</f>
        <v>585</v>
      </c>
      <c r="K30" s="118" t="str">
        <f>IFERROR(__xludf.DUMMYFUNCTION("""COMPUTED_VALUE"""),"On-time attendance reward")</f>
        <v>On-time attendance reward</v>
      </c>
    </row>
    <row r="31">
      <c r="A31" s="115">
        <f>IFERROR(__xludf.DUMMYFUNCTION("""COMPUTED_VALUE"""),46181.350648148145)</f>
        <v>46181.35065</v>
      </c>
      <c r="B31" s="117">
        <f>IFERROR(__xludf.DUMMYFUNCTION("""COMPUTED_VALUE"""),0.3506481481490482)</f>
        <v>0.3506481481</v>
      </c>
      <c r="C31" s="118" t="str">
        <f>IFERROR(__xludf.DUMMYFUNCTION("""COMPUTED_VALUE"""),"Present")</f>
        <v>Present</v>
      </c>
      <c r="D31" s="119"/>
      <c r="G31" s="115">
        <f>IFERROR(__xludf.DUMMYFUNCTION("""COMPUTED_VALUE"""),46181.35068287037)</f>
        <v>46181.35068</v>
      </c>
      <c r="H31" s="118" t="str">
        <f>IFERROR(__xludf.DUMMYFUNCTION("""COMPUTED_VALUE"""),"REWARD")</f>
        <v>REWARD</v>
      </c>
      <c r="I31" s="111">
        <f>IFERROR(__xludf.DUMMYFUNCTION("""COMPUTED_VALUE"""),10.0)</f>
        <v>10</v>
      </c>
      <c r="J31" s="111">
        <f>IFERROR(__xludf.DUMMYFUNCTION("""COMPUTED_VALUE"""),575.0)</f>
        <v>575</v>
      </c>
      <c r="K31" s="118" t="str">
        <f>IFERROR(__xludf.DUMMYFUNCTION("""COMPUTED_VALUE"""),"On-time attendance reward")</f>
        <v>On-time attendance reward</v>
      </c>
    </row>
    <row r="32">
      <c r="A32" s="115">
        <f>IFERROR(__xludf.DUMMYFUNCTION("""COMPUTED_VALUE"""),46178.375127314815)</f>
        <v>46178.37513</v>
      </c>
      <c r="B32" s="117">
        <f>IFERROR(__xludf.DUMMYFUNCTION("""COMPUTED_VALUE"""),0.37512731481547235)</f>
        <v>0.3751273148</v>
      </c>
      <c r="C32" s="118" t="str">
        <f>IFERROR(__xludf.DUMMYFUNCTION("""COMPUTED_VALUE"""),"Late")</f>
        <v>Late</v>
      </c>
      <c r="D32" s="119"/>
      <c r="G32" s="115">
        <f>IFERROR(__xludf.DUMMYFUNCTION("""COMPUTED_VALUE"""),46178.375185185185)</f>
        <v>46178.37519</v>
      </c>
      <c r="H32" s="118" t="str">
        <f>IFERROR(__xludf.DUMMYFUNCTION("""COMPUTED_VALUE"""),"FINE")</f>
        <v>FINE</v>
      </c>
      <c r="I32" s="111">
        <f>IFERROR(__xludf.DUMMYFUNCTION("""COMPUTED_VALUE"""),10.0)</f>
        <v>10</v>
      </c>
      <c r="J32" s="111">
        <f>IFERROR(__xludf.DUMMYFUNCTION("""COMPUTED_VALUE"""),50.0)</f>
        <v>50</v>
      </c>
      <c r="K32" s="118" t="str">
        <f>IFERROR(__xludf.DUMMYFUNCTION("""COMPUTED_VALUE"""),"Late attendance penalty")</f>
        <v>Late attendance penalty</v>
      </c>
    </row>
    <row r="33">
      <c r="A33" s="115">
        <f>IFERROR(__xludf.DUMMYFUNCTION("""COMPUTED_VALUE"""),46177.35799768519)</f>
        <v>46177.358</v>
      </c>
      <c r="B33" s="117">
        <f>IFERROR(__xludf.DUMMYFUNCTION("""COMPUTED_VALUE"""),0.3579976851870015)</f>
        <v>0.3579976852</v>
      </c>
      <c r="C33" s="118" t="str">
        <f>IFERROR(__xludf.DUMMYFUNCTION("""COMPUTED_VALUE"""),"Present")</f>
        <v>Present</v>
      </c>
      <c r="D33" s="119"/>
      <c r="G33" s="115">
        <f>IFERROR(__xludf.DUMMYFUNCTION("""COMPUTED_VALUE"""),46177.35804398148)</f>
        <v>46177.35804</v>
      </c>
      <c r="H33" s="118" t="str">
        <f>IFERROR(__xludf.DUMMYFUNCTION("""COMPUTED_VALUE"""),"REWARD")</f>
        <v>REWARD</v>
      </c>
      <c r="I33" s="111">
        <f>IFERROR(__xludf.DUMMYFUNCTION("""COMPUTED_VALUE"""),10.0)</f>
        <v>10</v>
      </c>
      <c r="J33" s="111">
        <f>IFERROR(__xludf.DUMMYFUNCTION("""COMPUTED_VALUE"""),60.0)</f>
        <v>60</v>
      </c>
      <c r="K33" s="118" t="str">
        <f>IFERROR(__xludf.DUMMYFUNCTION("""COMPUTED_VALUE"""),"On-time attendance reward")</f>
        <v>On-time attendance reward</v>
      </c>
    </row>
    <row r="34">
      <c r="A34" s="115">
        <f>IFERROR(__xludf.DUMMYFUNCTION("""COMPUTED_VALUE"""),46175.3575462963)</f>
        <v>46175.35755</v>
      </c>
      <c r="B34" s="117">
        <f>IFERROR(__xludf.DUMMYFUNCTION("""COMPUTED_VALUE"""),0.3575462962980964)</f>
        <v>0.3575462963</v>
      </c>
      <c r="C34" s="118" t="str">
        <f>IFERROR(__xludf.DUMMYFUNCTION("""COMPUTED_VALUE"""),"Present")</f>
        <v>Present</v>
      </c>
      <c r="D34" s="119"/>
      <c r="G34" s="115">
        <f>IFERROR(__xludf.DUMMYFUNCTION("""COMPUTED_VALUE"""),46175.357569444444)</f>
        <v>46175.35757</v>
      </c>
      <c r="H34" s="118" t="str">
        <f>IFERROR(__xludf.DUMMYFUNCTION("""COMPUTED_VALUE"""),"REWARD")</f>
        <v>REWARD</v>
      </c>
      <c r="I34" s="111">
        <f>IFERROR(__xludf.DUMMYFUNCTION("""COMPUTED_VALUE"""),10.0)</f>
        <v>10</v>
      </c>
      <c r="J34" s="111">
        <f>IFERROR(__xludf.DUMMYFUNCTION("""COMPUTED_VALUE"""),50.0)</f>
        <v>50</v>
      </c>
      <c r="K34" s="118" t="str">
        <f>IFERROR(__xludf.DUMMYFUNCTION("""COMPUTED_VALUE"""),"On-time attendance reward")</f>
        <v>On-time attendance reward</v>
      </c>
    </row>
    <row r="35">
      <c r="A35" s="115">
        <f>IFERROR(__xludf.DUMMYFUNCTION("""COMPUTED_VALUE"""),46174.36565972222)</f>
        <v>46174.36566</v>
      </c>
      <c r="B35" s="117">
        <f>IFERROR(__xludf.DUMMYFUNCTION("""COMPUTED_VALUE"""),0.3656597222216078)</f>
        <v>0.3656597222</v>
      </c>
      <c r="C35" s="118" t="str">
        <f>IFERROR(__xludf.DUMMYFUNCTION("""COMPUTED_VALUE"""),"Late")</f>
        <v>Late</v>
      </c>
      <c r="D35" s="119"/>
      <c r="G35" s="115">
        <f>IFERROR(__xludf.DUMMYFUNCTION("""COMPUTED_VALUE"""),46174.365694444445)</f>
        <v>46174.36569</v>
      </c>
      <c r="H35" s="118" t="str">
        <f>IFERROR(__xludf.DUMMYFUNCTION("""COMPUTED_VALUE"""),"FINE")</f>
        <v>FINE</v>
      </c>
      <c r="I35" s="111">
        <f>IFERROR(__xludf.DUMMYFUNCTION("""COMPUTED_VALUE"""),10.0)</f>
        <v>10</v>
      </c>
      <c r="J35" s="111">
        <f>IFERROR(__xludf.DUMMYFUNCTION("""COMPUTED_VALUE"""),40.0)</f>
        <v>40</v>
      </c>
      <c r="K35" s="118" t="str">
        <f>IFERROR(__xludf.DUMMYFUNCTION("""COMPUTED_VALUE"""),"Late attendance penalty")</f>
        <v>Late attendance penalty</v>
      </c>
    </row>
    <row r="36">
      <c r="A36" s="115">
        <f>IFERROR(__xludf.DUMMYFUNCTION("""COMPUTED_VALUE"""),46168.35590277778)</f>
        <v>46168.3559</v>
      </c>
      <c r="B36" s="117">
        <f>IFERROR(__xludf.DUMMYFUNCTION("""COMPUTED_VALUE"""),0.35590277777737356)</f>
        <v>0.3559027778</v>
      </c>
      <c r="C36" s="118" t="str">
        <f>IFERROR(__xludf.DUMMYFUNCTION("""COMPUTED_VALUE"""),"Present")</f>
        <v>Present</v>
      </c>
      <c r="D36" s="119"/>
      <c r="G36" s="115">
        <f>IFERROR(__xludf.DUMMYFUNCTION("""COMPUTED_VALUE"""),46168.355937500004)</f>
        <v>46168.35594</v>
      </c>
      <c r="H36" s="118" t="str">
        <f>IFERROR(__xludf.DUMMYFUNCTION("""COMPUTED_VALUE"""),"REWARD")</f>
        <v>REWARD</v>
      </c>
      <c r="I36" s="120">
        <f>IFERROR(__xludf.DUMMYFUNCTION("""COMPUTED_VALUE"""),10.0)</f>
        <v>10</v>
      </c>
      <c r="J36" s="111">
        <f>IFERROR(__xludf.DUMMYFUNCTION("""COMPUTED_VALUE"""),50.0)</f>
        <v>50</v>
      </c>
      <c r="K36" s="118" t="str">
        <f>IFERROR(__xludf.DUMMYFUNCTION("""COMPUTED_VALUE"""),"On-time attendance reward")</f>
        <v>On-time attendance reward</v>
      </c>
    </row>
    <row r="37">
      <c r="A37" s="115">
        <f>IFERROR(__xludf.DUMMYFUNCTION("""COMPUTED_VALUE"""),46164.35702546296)</f>
        <v>46164.35703</v>
      </c>
      <c r="B37" s="117">
        <f>IFERROR(__xludf.DUMMYFUNCTION("""COMPUTED_VALUE"""),0.35702546296306537)</f>
        <v>0.357025463</v>
      </c>
      <c r="C37" s="118" t="str">
        <f>IFERROR(__xludf.DUMMYFUNCTION("""COMPUTED_VALUE"""),"Present")</f>
        <v>Present</v>
      </c>
      <c r="D37" s="119"/>
      <c r="G37" s="115">
        <f>IFERROR(__xludf.DUMMYFUNCTION("""COMPUTED_VALUE"""),46164.357037037036)</f>
        <v>46164.35704</v>
      </c>
      <c r="H37" s="118" t="str">
        <f>IFERROR(__xludf.DUMMYFUNCTION("""COMPUTED_VALUE"""),"REWARD")</f>
        <v>REWARD</v>
      </c>
      <c r="I37" s="111">
        <f>IFERROR(__xludf.DUMMYFUNCTION("""COMPUTED_VALUE"""),10.0)</f>
        <v>10</v>
      </c>
      <c r="J37" s="111">
        <f>IFERROR(__xludf.DUMMYFUNCTION("""COMPUTED_VALUE"""),40.0)</f>
        <v>40</v>
      </c>
      <c r="K37" s="118" t="str">
        <f>IFERROR(__xludf.DUMMYFUNCTION("""COMPUTED_VALUE"""),"On-time attendance reward")</f>
        <v>On-time attendance reward</v>
      </c>
    </row>
    <row r="38">
      <c r="A38" s="115">
        <f>IFERROR(__xludf.DUMMYFUNCTION("""COMPUTED_VALUE"""),46163.35587962963)</f>
        <v>46163.35588</v>
      </c>
      <c r="B38" s="117">
        <f>IFERROR(__xludf.DUMMYFUNCTION("""COMPUTED_VALUE"""),0.3558796296310902)</f>
        <v>0.3558796296</v>
      </c>
      <c r="C38" s="118" t="str">
        <f>IFERROR(__xludf.DUMMYFUNCTION("""COMPUTED_VALUE"""),"Present")</f>
        <v>Present</v>
      </c>
      <c r="D38" s="119"/>
      <c r="G38" s="115">
        <f>IFERROR(__xludf.DUMMYFUNCTION("""COMPUTED_VALUE"""),46163.35591435185)</f>
        <v>46163.35591</v>
      </c>
      <c r="H38" s="118" t="str">
        <f>IFERROR(__xludf.DUMMYFUNCTION("""COMPUTED_VALUE"""),"REWARD")</f>
        <v>REWARD</v>
      </c>
      <c r="I38" s="111">
        <f>IFERROR(__xludf.DUMMYFUNCTION("""COMPUTED_VALUE"""),10.0)</f>
        <v>10</v>
      </c>
      <c r="J38" s="111">
        <f>IFERROR(__xludf.DUMMYFUNCTION("""COMPUTED_VALUE"""),10.0)</f>
        <v>10</v>
      </c>
      <c r="K38" s="118" t="str">
        <f>IFERROR(__xludf.DUMMYFUNCTION("""COMPUTED_VALUE"""),"On-time attendance reward")</f>
        <v>On-time attendance reward</v>
      </c>
    </row>
  </sheetData>
  <mergeCells count="51">
    <mergeCell ref="K36:L36"/>
    <mergeCell ref="K37:L37"/>
    <mergeCell ref="K29:L29"/>
    <mergeCell ref="K30:L30"/>
    <mergeCell ref="K31:L31"/>
    <mergeCell ref="K32:L32"/>
    <mergeCell ref="K33:L33"/>
    <mergeCell ref="K34:L34"/>
    <mergeCell ref="K35:L35"/>
    <mergeCell ref="K16:L16"/>
    <mergeCell ref="K17:L17"/>
    <mergeCell ref="A1:L2"/>
    <mergeCell ref="A14:F14"/>
    <mergeCell ref="G14:L14"/>
    <mergeCell ref="E15:F15"/>
    <mergeCell ref="K15:L15"/>
    <mergeCell ref="E16:F16"/>
    <mergeCell ref="E17:F17"/>
    <mergeCell ref="E18:F18"/>
    <mergeCell ref="K18:L18"/>
    <mergeCell ref="E19:F19"/>
    <mergeCell ref="K19:L19"/>
    <mergeCell ref="E20:F20"/>
    <mergeCell ref="K20:L20"/>
    <mergeCell ref="K21:L21"/>
    <mergeCell ref="E21:F21"/>
    <mergeCell ref="E22:F22"/>
    <mergeCell ref="E23:F23"/>
    <mergeCell ref="E24:F24"/>
    <mergeCell ref="E25:F25"/>
    <mergeCell ref="E26:F26"/>
    <mergeCell ref="A27:F27"/>
    <mergeCell ref="K22:L22"/>
    <mergeCell ref="K23:L23"/>
    <mergeCell ref="K24:L24"/>
    <mergeCell ref="K25:L25"/>
    <mergeCell ref="K26:L26"/>
    <mergeCell ref="G27:L27"/>
    <mergeCell ref="K28:L28"/>
    <mergeCell ref="D35:F35"/>
    <mergeCell ref="D36:F36"/>
    <mergeCell ref="D37:F37"/>
    <mergeCell ref="D38:F38"/>
    <mergeCell ref="K38:L38"/>
    <mergeCell ref="D28:F28"/>
    <mergeCell ref="D29:F29"/>
    <mergeCell ref="D30:F30"/>
    <mergeCell ref="D31:F31"/>
    <mergeCell ref="D32:F32"/>
    <mergeCell ref="D33:F33"/>
    <mergeCell ref="D34:F34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2.88"/>
    <col customWidth="1" min="3" max="3" width="4.75"/>
    <col customWidth="1" min="4" max="4" width="8.13"/>
    <col customWidth="1" min="5" max="5" width="8.25"/>
    <col customWidth="1" min="6" max="6" width="39.75"/>
    <col customWidth="1" min="7" max="7" width="9.5"/>
    <col customWidth="1" min="8" max="8" width="14.75"/>
  </cols>
  <sheetData>
    <row r="1" ht="15.75" customHeight="1">
      <c r="A1" s="97" t="s">
        <v>467</v>
      </c>
      <c r="L1" s="121"/>
    </row>
    <row r="2" ht="15.75" customHeight="1">
      <c r="L2" s="121"/>
    </row>
    <row r="3" ht="15.75" customHeight="1">
      <c r="A3" s="98"/>
      <c r="B3" s="98"/>
      <c r="C3" s="98"/>
      <c r="D3" s="122"/>
      <c r="E3" s="98"/>
      <c r="F3" s="98"/>
      <c r="G3" s="99"/>
      <c r="H3" s="99"/>
      <c r="I3" s="99"/>
      <c r="J3" s="99"/>
      <c r="K3" s="99"/>
      <c r="L3" s="100"/>
    </row>
    <row r="4" ht="15.75" customHeight="1">
      <c r="A4" s="104" t="s">
        <v>468</v>
      </c>
      <c r="B4" s="123"/>
      <c r="C4" s="103"/>
      <c r="D4" s="113"/>
      <c r="E4" s="100"/>
      <c r="F4" s="124"/>
      <c r="G4" s="100"/>
      <c r="H4" s="100"/>
      <c r="I4" s="100"/>
      <c r="J4" s="100"/>
      <c r="K4" s="100"/>
      <c r="L4" s="100"/>
    </row>
    <row r="5" ht="15.75" customHeight="1">
      <c r="A5" s="105"/>
      <c r="B5" s="100"/>
      <c r="C5" s="100"/>
      <c r="D5" s="113"/>
      <c r="E5" s="100"/>
      <c r="F5" s="103"/>
      <c r="G5" s="103"/>
      <c r="H5" s="103"/>
      <c r="I5" s="103"/>
      <c r="J5" s="103"/>
      <c r="K5" s="100"/>
      <c r="L5" s="100"/>
    </row>
    <row r="6" ht="15.75" customHeight="1">
      <c r="A6" s="125" t="s">
        <v>469</v>
      </c>
      <c r="B6" s="126"/>
      <c r="C6" s="124"/>
      <c r="D6" s="110"/>
      <c r="E6" s="100"/>
      <c r="F6" s="108"/>
      <c r="G6" s="108"/>
      <c r="H6" s="110"/>
      <c r="I6" s="111"/>
      <c r="J6" s="112"/>
      <c r="K6" s="100"/>
      <c r="L6" s="100"/>
    </row>
    <row r="7" ht="15.75" customHeight="1">
      <c r="A7" s="125" t="s">
        <v>470</v>
      </c>
      <c r="B7" s="126"/>
      <c r="C7" s="124"/>
      <c r="D7" s="110"/>
      <c r="E7" s="100"/>
      <c r="F7" s="100"/>
      <c r="G7" s="100"/>
      <c r="H7" s="113"/>
      <c r="I7" s="106"/>
      <c r="J7" s="114"/>
      <c r="K7" s="100"/>
      <c r="L7" s="100"/>
    </row>
    <row r="8" ht="15.75" customHeight="1">
      <c r="A8" s="124"/>
      <c r="B8" s="108"/>
      <c r="C8" s="124"/>
      <c r="D8" s="110"/>
      <c r="E8" s="100"/>
      <c r="F8" s="100"/>
      <c r="G8" s="100"/>
      <c r="H8" s="113"/>
      <c r="I8" s="106"/>
      <c r="J8" s="114"/>
      <c r="K8" s="100"/>
      <c r="L8" s="100"/>
    </row>
    <row r="9" ht="15.75" customHeight="1">
      <c r="A9" s="125" t="s">
        <v>471</v>
      </c>
      <c r="B9" s="127" t="s">
        <v>472</v>
      </c>
      <c r="C9" s="128"/>
      <c r="D9" s="129"/>
      <c r="E9" s="100"/>
      <c r="F9" s="100"/>
      <c r="G9" s="100"/>
      <c r="H9" s="113"/>
      <c r="I9" s="106"/>
      <c r="J9" s="114"/>
      <c r="K9" s="100"/>
      <c r="L9" s="100"/>
    </row>
    <row r="10" ht="15.75" customHeight="1">
      <c r="A10" s="124"/>
      <c r="B10" s="108"/>
      <c r="C10" s="124"/>
      <c r="D10" s="110"/>
      <c r="E10" s="100"/>
      <c r="F10" s="100"/>
      <c r="G10" s="100"/>
      <c r="H10" s="113"/>
      <c r="I10" s="106"/>
      <c r="J10" s="114"/>
      <c r="K10" s="100"/>
      <c r="L10" s="100"/>
    </row>
    <row r="11" ht="15.75" customHeight="1">
      <c r="A11" s="125" t="s">
        <v>473</v>
      </c>
    </row>
    <row r="12" ht="15.75" customHeight="1">
      <c r="A12" s="130" t="s">
        <v>474</v>
      </c>
      <c r="B12" s="131" t="s">
        <v>475</v>
      </c>
      <c r="C12" s="131" t="s">
        <v>367</v>
      </c>
      <c r="D12" s="132" t="s">
        <v>368</v>
      </c>
      <c r="E12" s="131" t="s">
        <v>69</v>
      </c>
      <c r="F12" s="131" t="s">
        <v>369</v>
      </c>
      <c r="G12" s="133"/>
      <c r="H12" s="131"/>
      <c r="I12" s="107"/>
      <c r="J12" s="107"/>
      <c r="K12" s="107"/>
    </row>
    <row r="13" ht="15.75" customHeight="1">
      <c r="A13" s="134">
        <f>IFERROR(__xludf.DUMMYFUNCTION("FILTER({Store!A:A,Store!B:B,Store!C:C,Store!E:E,Store!F:F,Store!G:G},Store!A:A&lt;&gt;"""",Store!D:D=""Yes"")"),7734.0)</f>
        <v>7734</v>
      </c>
      <c r="B13" s="108" t="str">
        <f>IFERROR(__xludf.DUMMYFUNCTION("""COMPUTED_VALUE"""),"Extra credit 1%")</f>
        <v>Extra credit 1%</v>
      </c>
      <c r="C13" s="111">
        <f>IFERROR(__xludf.DUMMYFUNCTION("""COMPUTED_VALUE"""),100.0)</f>
        <v>100</v>
      </c>
      <c r="D13" s="110">
        <f>IFERROR(__xludf.DUMMYFUNCTION("""COMPUTED_VALUE"""),76.0)</f>
        <v>76</v>
      </c>
      <c r="E13" s="116" t="str">
        <f>IFERROR(__xludf.DUMMYFUNCTION("""COMPUTED_VALUE"""),"Academic")</f>
        <v>Academic</v>
      </c>
      <c r="F13" s="116" t="str">
        <f>IFERROR(__xludf.DUMMYFUNCTION("""COMPUTED_VALUE"""),"Get 1% extra credit on an assignment")</f>
        <v>Get 1% extra credit on an assignment</v>
      </c>
      <c r="G13" s="115"/>
      <c r="H13" s="108"/>
      <c r="I13" s="111"/>
      <c r="J13" s="111"/>
      <c r="K13" s="108"/>
    </row>
    <row r="14" ht="15.75" customHeight="1">
      <c r="A14" s="134"/>
      <c r="B14" s="108"/>
      <c r="C14" s="111"/>
      <c r="D14" s="110"/>
      <c r="E14" s="116"/>
      <c r="F14" s="116"/>
      <c r="G14" s="115"/>
      <c r="H14" s="108"/>
      <c r="I14" s="111"/>
      <c r="J14" s="111"/>
      <c r="K14" s="108"/>
    </row>
    <row r="15" ht="15.75" customHeight="1">
      <c r="A15" s="134"/>
      <c r="B15" s="108"/>
      <c r="C15" s="111"/>
      <c r="D15" s="110"/>
      <c r="E15" s="116"/>
      <c r="F15" s="116"/>
      <c r="G15" s="115"/>
      <c r="H15" s="108"/>
      <c r="I15" s="111"/>
      <c r="J15" s="111"/>
      <c r="K15" s="108"/>
    </row>
    <row r="16" ht="15.75" customHeight="1">
      <c r="A16" s="134"/>
      <c r="B16" s="108"/>
      <c r="C16" s="111"/>
      <c r="D16" s="110"/>
      <c r="E16" s="116"/>
      <c r="F16" s="116"/>
      <c r="G16" s="115"/>
      <c r="H16" s="108"/>
      <c r="I16" s="111"/>
      <c r="J16" s="111"/>
      <c r="K16" s="108"/>
    </row>
    <row r="17" ht="15.75" customHeight="1">
      <c r="A17" s="134"/>
      <c r="B17" s="108"/>
      <c r="C17" s="111"/>
      <c r="D17" s="110"/>
      <c r="E17" s="116"/>
      <c r="F17" s="116"/>
      <c r="G17" s="115"/>
      <c r="H17" s="108"/>
      <c r="I17" s="111"/>
      <c r="J17" s="111"/>
      <c r="K17" s="108"/>
      <c r="L17" s="108"/>
    </row>
    <row r="18" ht="15.75" customHeight="1">
      <c r="A18" s="134"/>
      <c r="B18" s="108"/>
      <c r="C18" s="111"/>
      <c r="D18" s="110"/>
      <c r="E18" s="116"/>
      <c r="F18" s="116"/>
      <c r="G18" s="115"/>
      <c r="H18" s="108"/>
      <c r="I18" s="111"/>
      <c r="J18" s="111"/>
      <c r="K18" s="108"/>
      <c r="L18" s="108"/>
    </row>
    <row r="19" ht="15.75" customHeight="1">
      <c r="A19" s="134"/>
      <c r="B19" s="108"/>
      <c r="C19" s="111"/>
      <c r="D19" s="110"/>
      <c r="E19" s="116"/>
      <c r="F19" s="116"/>
      <c r="G19" s="115"/>
      <c r="H19" s="108"/>
      <c r="I19" s="111"/>
      <c r="J19" s="111"/>
      <c r="K19" s="108"/>
      <c r="L19" s="108"/>
    </row>
    <row r="20" ht="15.75" customHeight="1">
      <c r="A20" s="134"/>
      <c r="B20" s="108"/>
      <c r="C20" s="111"/>
      <c r="D20" s="110"/>
      <c r="E20" s="116"/>
      <c r="F20" s="116"/>
      <c r="G20" s="115"/>
      <c r="H20" s="108"/>
      <c r="I20" s="111"/>
      <c r="J20" s="111"/>
      <c r="K20" s="108"/>
      <c r="L20" s="108"/>
    </row>
    <row r="21" ht="15.75" customHeight="1">
      <c r="A21" s="134"/>
      <c r="B21" s="108"/>
      <c r="C21" s="111"/>
      <c r="D21" s="110"/>
      <c r="E21" s="116"/>
      <c r="F21" s="116"/>
      <c r="G21" s="115"/>
      <c r="H21" s="108"/>
      <c r="I21" s="111"/>
      <c r="J21" s="111"/>
      <c r="K21" s="108"/>
      <c r="L21" s="108"/>
    </row>
    <row r="22" ht="15.75" customHeight="1">
      <c r="A22" s="134"/>
      <c r="B22" s="108"/>
      <c r="C22" s="111"/>
      <c r="D22" s="110"/>
      <c r="E22" s="116"/>
      <c r="F22" s="116"/>
      <c r="G22" s="115"/>
      <c r="H22" s="108"/>
      <c r="I22" s="111"/>
      <c r="J22" s="111"/>
      <c r="K22" s="108"/>
      <c r="L22" s="108"/>
    </row>
    <row r="23" ht="15.75" customHeight="1">
      <c r="A23" s="134"/>
      <c r="B23" s="108"/>
      <c r="C23" s="111"/>
      <c r="D23" s="110"/>
      <c r="E23" s="116"/>
      <c r="F23" s="116"/>
      <c r="G23" s="115"/>
      <c r="H23" s="108"/>
      <c r="I23" s="111"/>
      <c r="J23" s="111"/>
      <c r="K23" s="108"/>
      <c r="L23" s="108"/>
    </row>
    <row r="24" ht="15.75" customHeight="1">
      <c r="A24" s="134"/>
      <c r="B24" s="108"/>
      <c r="C24" s="111"/>
      <c r="D24" s="110"/>
      <c r="E24" s="116"/>
      <c r="F24" s="116"/>
      <c r="G24" s="115"/>
      <c r="H24" s="108"/>
      <c r="I24" s="111"/>
      <c r="J24" s="111"/>
      <c r="K24" s="108"/>
      <c r="L24" s="108"/>
    </row>
    <row r="25" ht="15.75" customHeight="1">
      <c r="A25" s="134"/>
      <c r="B25" s="108"/>
      <c r="C25" s="111"/>
      <c r="D25" s="110"/>
      <c r="E25" s="116"/>
      <c r="F25" s="116"/>
      <c r="G25" s="115"/>
      <c r="H25" s="108"/>
      <c r="I25" s="111"/>
      <c r="J25" s="111"/>
      <c r="K25" s="108"/>
      <c r="L25" s="108"/>
    </row>
    <row r="26" ht="15.75" customHeight="1">
      <c r="A26" s="134"/>
      <c r="B26" s="108"/>
      <c r="C26" s="111"/>
      <c r="D26" s="110"/>
      <c r="E26" s="116"/>
      <c r="F26" s="116"/>
      <c r="G26" s="115"/>
      <c r="H26" s="108"/>
      <c r="I26" s="111"/>
      <c r="J26" s="111"/>
      <c r="K26" s="108"/>
      <c r="L26" s="108"/>
    </row>
    <row r="27" ht="15.75" customHeight="1">
      <c r="A27" s="134"/>
      <c r="B27" s="108"/>
      <c r="C27" s="111"/>
      <c r="D27" s="110"/>
      <c r="E27" s="116"/>
      <c r="F27" s="116"/>
      <c r="G27" s="115"/>
      <c r="H27" s="108"/>
      <c r="I27" s="111"/>
      <c r="J27" s="111"/>
      <c r="K27" s="108"/>
      <c r="L27" s="108"/>
    </row>
    <row r="28" ht="15.75" customHeight="1">
      <c r="A28" s="134"/>
      <c r="B28" s="108"/>
      <c r="C28" s="111"/>
      <c r="D28" s="110"/>
      <c r="E28" s="116"/>
      <c r="F28" s="116"/>
      <c r="G28" s="115"/>
      <c r="H28" s="108"/>
      <c r="I28" s="111"/>
      <c r="J28" s="111"/>
      <c r="K28" s="108"/>
      <c r="L28" s="108"/>
    </row>
    <row r="29" ht="15.75" customHeight="1">
      <c r="A29" s="134"/>
      <c r="B29" s="108"/>
      <c r="C29" s="111"/>
      <c r="D29" s="110"/>
      <c r="E29" s="116"/>
      <c r="F29" s="116"/>
      <c r="G29" s="115"/>
      <c r="H29" s="108"/>
      <c r="I29" s="111"/>
      <c r="J29" s="111"/>
      <c r="K29" s="108"/>
      <c r="L29" s="108"/>
    </row>
    <row r="30" ht="15.75" customHeight="1">
      <c r="A30" s="134"/>
      <c r="B30" s="108"/>
      <c r="C30" s="111"/>
      <c r="D30" s="110"/>
      <c r="E30" s="116"/>
      <c r="F30" s="116"/>
      <c r="G30" s="115"/>
      <c r="H30" s="108"/>
      <c r="I30" s="111"/>
      <c r="J30" s="111"/>
      <c r="K30" s="108"/>
      <c r="L30" s="108"/>
    </row>
    <row r="31" ht="15.75" customHeight="1">
      <c r="A31" s="134"/>
      <c r="B31" s="108"/>
      <c r="C31" s="111"/>
      <c r="D31" s="110"/>
      <c r="E31" s="116"/>
      <c r="F31" s="116"/>
      <c r="G31" s="115"/>
      <c r="H31" s="108"/>
      <c r="I31" s="111"/>
      <c r="J31" s="111"/>
      <c r="K31" s="108"/>
      <c r="L31" s="108"/>
    </row>
    <row r="32" ht="15.75" customHeight="1">
      <c r="A32" s="134"/>
      <c r="B32" s="108"/>
      <c r="C32" s="111"/>
      <c r="D32" s="110"/>
      <c r="E32" s="116"/>
      <c r="F32" s="116"/>
      <c r="G32" s="115"/>
      <c r="H32" s="108"/>
      <c r="I32" s="111"/>
      <c r="J32" s="111"/>
      <c r="K32" s="108"/>
      <c r="L32" s="108"/>
    </row>
    <row r="33" ht="15.75" customHeight="1">
      <c r="A33" s="134"/>
      <c r="B33" s="108"/>
      <c r="C33" s="111"/>
      <c r="D33" s="110"/>
      <c r="E33" s="116"/>
      <c r="F33" s="116"/>
      <c r="G33" s="115"/>
      <c r="H33" s="108"/>
      <c r="I33" s="111"/>
      <c r="J33" s="111"/>
      <c r="K33" s="108"/>
      <c r="L33" s="108"/>
    </row>
    <row r="34" ht="15.75" customHeight="1">
      <c r="A34" s="134"/>
      <c r="B34" s="108"/>
      <c r="C34" s="111"/>
      <c r="D34" s="110"/>
      <c r="E34" s="116"/>
      <c r="F34" s="116"/>
      <c r="G34" s="115"/>
      <c r="H34" s="108"/>
      <c r="I34" s="111"/>
      <c r="J34" s="111"/>
      <c r="K34" s="108"/>
      <c r="L34" s="108"/>
    </row>
    <row r="35" ht="15.75" customHeight="1">
      <c r="A35" s="134"/>
      <c r="B35" s="108"/>
      <c r="C35" s="111"/>
      <c r="D35" s="110"/>
      <c r="E35" s="116"/>
      <c r="F35" s="116"/>
      <c r="G35" s="115"/>
      <c r="H35" s="108"/>
      <c r="I35" s="111"/>
      <c r="J35" s="111"/>
      <c r="K35" s="108"/>
      <c r="L35" s="108"/>
    </row>
    <row r="36" ht="15.75" customHeight="1">
      <c r="A36" s="134"/>
      <c r="B36" s="108"/>
      <c r="C36" s="111"/>
      <c r="D36" s="110"/>
      <c r="E36" s="116"/>
      <c r="F36" s="116"/>
      <c r="G36" s="115"/>
      <c r="H36" s="108"/>
      <c r="I36" s="111"/>
      <c r="J36" s="111"/>
      <c r="K36" s="108"/>
      <c r="L36" s="108"/>
    </row>
    <row r="37" ht="15.75" customHeight="1">
      <c r="A37" s="134"/>
      <c r="B37" s="108"/>
      <c r="C37" s="111"/>
      <c r="D37" s="110"/>
      <c r="E37" s="116"/>
      <c r="F37" s="116"/>
      <c r="G37" s="115"/>
      <c r="H37" s="108"/>
      <c r="I37" s="111"/>
      <c r="J37" s="111"/>
      <c r="K37" s="108"/>
      <c r="L37" s="108"/>
    </row>
    <row r="38" ht="15.75" customHeight="1">
      <c r="A38" s="134"/>
      <c r="B38" s="108"/>
      <c r="C38" s="111"/>
      <c r="D38" s="110"/>
      <c r="E38" s="116"/>
      <c r="F38" s="116"/>
      <c r="G38" s="115"/>
      <c r="H38" s="108"/>
      <c r="I38" s="111"/>
      <c r="J38" s="111"/>
      <c r="K38" s="108"/>
      <c r="L38" s="108"/>
    </row>
  </sheetData>
  <mergeCells count="7">
    <mergeCell ref="A1:K2"/>
    <mergeCell ref="A11:L11"/>
    <mergeCell ref="K12:L12"/>
    <mergeCell ref="K13:L13"/>
    <mergeCell ref="K14:L14"/>
    <mergeCell ref="K15:L15"/>
    <mergeCell ref="K16:L16"/>
  </mergeCells>
  <drawing r:id="rId2"/>
  <legacyDrawing r:id="rId3"/>
</worksheet>
</file>